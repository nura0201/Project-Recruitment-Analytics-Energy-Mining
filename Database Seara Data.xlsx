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5"/>
    <sheet state="visible" name="master" sheetId="2" r:id="rId6"/>
    <sheet state="visible" name="dataset" sheetId="3" r:id="rId7"/>
  </sheets>
  <definedNames>
    <definedName hidden="1" localSheetId="0" name="_xlnm._FilterDatabase">'Form Responses 1'!$A$1:$P$682</definedName>
    <definedName hidden="1" localSheetId="1" name="_xlnm._FilterDatabase">master!$A$1:$B$146</definedName>
    <definedName hidden="1" localSheetId="2" name="_xlnm._FilterDatabase">dataset!$A$1:$I$682</definedName>
  </definedNames>
  <calcPr/>
</workbook>
</file>

<file path=xl/sharedStrings.xml><?xml version="1.0" encoding="utf-8"?>
<sst xmlns="http://schemas.openxmlformats.org/spreadsheetml/2006/main" count="10529" uniqueCount="2831">
  <si>
    <t>Timestamp</t>
  </si>
  <si>
    <t>Nama Lengkap</t>
  </si>
  <si>
    <t>Email</t>
  </si>
  <si>
    <t>Nomor WhatsApp</t>
  </si>
  <si>
    <t>Domisili</t>
  </si>
  <si>
    <t>Apakah Anda Mahasiswa / Fresh Graduate</t>
  </si>
  <si>
    <t>Pekerjaan &amp; Instansi Saat Ini</t>
  </si>
  <si>
    <t>Tools yang Ingin Dipelajari</t>
  </si>
  <si>
    <t>Target Join Komunitas</t>
  </si>
  <si>
    <t>Tau Seara Data Dari Mana?</t>
  </si>
  <si>
    <t>Column 1</t>
  </si>
  <si>
    <t>Provinsi</t>
  </si>
  <si>
    <t>Cari Kerja</t>
  </si>
  <si>
    <t>Upskill</t>
  </si>
  <si>
    <t>Networking</t>
  </si>
  <si>
    <t>Switch Career</t>
  </si>
  <si>
    <t>Aarif Rahmaan Jalaluddin Faqiih</t>
  </si>
  <si>
    <t>aarifrjf@gmail.com</t>
  </si>
  <si>
    <t>082242458593</t>
  </si>
  <si>
    <t>Jawa Tengah</t>
  </si>
  <si>
    <t>Ya</t>
  </si>
  <si>
    <t>Mahasiswa</t>
  </si>
  <si>
    <t>Python, Tableau</t>
  </si>
  <si>
    <t>Cari Kerja, Upskill, Networking</t>
  </si>
  <si>
    <t>LinkedIn</t>
  </si>
  <si>
    <t>Abdullah Rajab Sani</t>
  </si>
  <si>
    <t>abdullahrsani@gmail.com</t>
  </si>
  <si>
    <t>089636422658</t>
  </si>
  <si>
    <t>Padang</t>
  </si>
  <si>
    <t>belum ada</t>
  </si>
  <si>
    <t>Excel, SQL, Python, Power BI</t>
  </si>
  <si>
    <t>Cari Kerja, Upskill, Networking, Switch Career</t>
  </si>
  <si>
    <t>Abdur Rochman</t>
  </si>
  <si>
    <t>abdurrochman195@gmail.com</t>
  </si>
  <si>
    <t>085785757834</t>
  </si>
  <si>
    <t>Surabaya</t>
  </si>
  <si>
    <t xml:space="preserve">Freelance Web Development </t>
  </si>
  <si>
    <t>Excel, SQL, Python, Power BI, Databases</t>
  </si>
  <si>
    <t>Teman</t>
  </si>
  <si>
    <t>Abdurrahman Qeis Ahmad</t>
  </si>
  <si>
    <t>qeisahmad98@gmail.com</t>
  </si>
  <si>
    <t>0895421552311</t>
  </si>
  <si>
    <t>Bandung</t>
  </si>
  <si>
    <t>Konsultan Perencanaan Kota</t>
  </si>
  <si>
    <t>Python, Power BI</t>
  </si>
  <si>
    <t>Abid Maulana Akbar</t>
  </si>
  <si>
    <t>abidma012@gmail.com</t>
  </si>
  <si>
    <t>085803655302</t>
  </si>
  <si>
    <t>Yogyakarta</t>
  </si>
  <si>
    <t>Tidak</t>
  </si>
  <si>
    <t>Senior Barista _- Esha kopi</t>
  </si>
  <si>
    <t>Excel, SQL, Python, Power BI, Looker Studio, Databases, Tableau</t>
  </si>
  <si>
    <t>Upskill, Networking, Switch Career</t>
  </si>
  <si>
    <t xml:space="preserve">Abimanyu Priyatno </t>
  </si>
  <si>
    <t>abimanyupri@gmail.com</t>
  </si>
  <si>
    <t>085692331114</t>
  </si>
  <si>
    <t xml:space="preserve">Tangerang </t>
  </si>
  <si>
    <t>Data &amp; Informasi System Staff, Kementerian Desa PDT</t>
  </si>
  <si>
    <t>Excel, SQL, Power BI, Tableau</t>
  </si>
  <si>
    <t>Upskill, Networking</t>
  </si>
  <si>
    <t>Achmad Chilmi Syifa</t>
  </si>
  <si>
    <t>hylmisyifa@gmail.com</t>
  </si>
  <si>
    <t>083843588880</t>
  </si>
  <si>
    <t>Kudus</t>
  </si>
  <si>
    <t>Admin Personalia</t>
  </si>
  <si>
    <t>Achmad jamaah firdaus</t>
  </si>
  <si>
    <t>Achmadjamaahfirdaus0099@gmail.com</t>
  </si>
  <si>
    <t>083865555032</t>
  </si>
  <si>
    <t>Boyolali</t>
  </si>
  <si>
    <t>-</t>
  </si>
  <si>
    <t xml:space="preserve">Excel, SQL, Python, Power BI, Looker Studio, Databases, Airflow </t>
  </si>
  <si>
    <t xml:space="preserve">Achmad Kurniansyah </t>
  </si>
  <si>
    <t>achmadkurniansyahthalib@gmail.com</t>
  </si>
  <si>
    <t>087814074676</t>
  </si>
  <si>
    <t>Tangerang</t>
  </si>
  <si>
    <t>Senior Business Intelegence Dekoruma</t>
  </si>
  <si>
    <t>Instagram</t>
  </si>
  <si>
    <t>Addo Adantya Abiesa</t>
  </si>
  <si>
    <t>abiesa.addo@gmail.com</t>
  </si>
  <si>
    <t>087776964621</t>
  </si>
  <si>
    <t>Sidoarjo, Jawa Timur</t>
  </si>
  <si>
    <t>Audit - PT Jawa Berkat Indonesia</t>
  </si>
  <si>
    <t>Excel, SQL, Python, Power BI, Looker Studio, Tableau</t>
  </si>
  <si>
    <t xml:space="preserve">Ade Krisna </t>
  </si>
  <si>
    <t>adekrisnasubagyo18@gmail.com</t>
  </si>
  <si>
    <t>082228461957</t>
  </si>
  <si>
    <t>Banyumas</t>
  </si>
  <si>
    <t>Excel, SQL, Python, Power BI, Looker Studio, Databases</t>
  </si>
  <si>
    <t xml:space="preserve">Ade Krisna Subagyo </t>
  </si>
  <si>
    <t>Ade Mutia</t>
  </si>
  <si>
    <t>ademutia.suwardi@gmail.com</t>
  </si>
  <si>
    <t>085862612541</t>
  </si>
  <si>
    <t>Bekasi</t>
  </si>
  <si>
    <t>Excel, SQL, Python, Power BI, Tableau</t>
  </si>
  <si>
    <t>Ade Tri Oktavian</t>
  </si>
  <si>
    <t>adetrioktavian12@gmail.com</t>
  </si>
  <si>
    <t>081380305890</t>
  </si>
  <si>
    <t>Jakarta Timur</t>
  </si>
  <si>
    <t>Warehouse - Supply Chain</t>
  </si>
  <si>
    <t>Adek Putri</t>
  </si>
  <si>
    <t>adek19putri@gmail.com</t>
  </si>
  <si>
    <t>08116681815</t>
  </si>
  <si>
    <t>ASN</t>
  </si>
  <si>
    <t>Excel, SQL, Python, Power BI, Looker Studio, Databases, Tableau, Anything</t>
  </si>
  <si>
    <t>Adhyatnika Nugraha</t>
  </si>
  <si>
    <t>adhyatnika.nugraha@gmail.com</t>
  </si>
  <si>
    <t>081803539087</t>
  </si>
  <si>
    <t>Cianjur</t>
  </si>
  <si>
    <t>Staff HR di salah satu Bank Swasta</t>
  </si>
  <si>
    <t>Cari Kerja, Networking</t>
  </si>
  <si>
    <t>Adi Syah Putra Simbolon</t>
  </si>
  <si>
    <t>adisyahsimbolon@gamil.con</t>
  </si>
  <si>
    <t>085372235592</t>
  </si>
  <si>
    <t>Medan</t>
  </si>
  <si>
    <t>Idle</t>
  </si>
  <si>
    <t>Adinda Dwi Nur Rahmawati</t>
  </si>
  <si>
    <t>dadinda868@gmail.com</t>
  </si>
  <si>
    <t>088989430679</t>
  </si>
  <si>
    <t>Gresik</t>
  </si>
  <si>
    <t>Adinda Dwi Putri</t>
  </si>
  <si>
    <t>dindaadwptri@gmail.com</t>
  </si>
  <si>
    <t>085256392566</t>
  </si>
  <si>
    <t>Makassar</t>
  </si>
  <si>
    <t>Quality System Intern</t>
  </si>
  <si>
    <t xml:space="preserve">Adinda Putri Satya </t>
  </si>
  <si>
    <t>putrisd188@gmail.com</t>
  </si>
  <si>
    <t>081221196013</t>
  </si>
  <si>
    <t>Jawa Barat,</t>
  </si>
  <si>
    <t>Freshgraduated</t>
  </si>
  <si>
    <t>Excel, SQL, Power BI, Looker Studio</t>
  </si>
  <si>
    <t>Cari Kerja, Upskill</t>
  </si>
  <si>
    <t>Adinda Rahma Illawati</t>
  </si>
  <si>
    <t>rdinda659@gmail.com</t>
  </si>
  <si>
    <t>089524739800</t>
  </si>
  <si>
    <t xml:space="preserve">Bandung </t>
  </si>
  <si>
    <t xml:space="preserve">Magang - Pemerintahan (BBPMP Jabar) </t>
  </si>
  <si>
    <t>Power BI, Looker Studio, Tableau</t>
  </si>
  <si>
    <t>Aditya Rizky Widiarta</t>
  </si>
  <si>
    <t>adityawidiarta0@gmail.com</t>
  </si>
  <si>
    <t>08119255511</t>
  </si>
  <si>
    <t>PT SOKKA TAMA FIBER</t>
  </si>
  <si>
    <t>Adrian Taufan</t>
  </si>
  <si>
    <t>adriantaufan3129@gmail.com</t>
  </si>
  <si>
    <t>081356910981</t>
  </si>
  <si>
    <t xml:space="preserve">Student </t>
  </si>
  <si>
    <t>Afdhal Wirahadi</t>
  </si>
  <si>
    <t>afdhal.wirahadi@gmail.com</t>
  </si>
  <si>
    <t>081316016661</t>
  </si>
  <si>
    <t>Dumai</t>
  </si>
  <si>
    <t>Freelance</t>
  </si>
  <si>
    <t xml:space="preserve">Freelance </t>
  </si>
  <si>
    <t>Pekanbaru</t>
  </si>
  <si>
    <t xml:space="preserve">Un employee </t>
  </si>
  <si>
    <t>Excel, Python, Power BI</t>
  </si>
  <si>
    <t>Upskill, Switch Career</t>
  </si>
  <si>
    <t>Afifa Zahia Prananto</t>
  </si>
  <si>
    <t>afifa020204@gmail.com</t>
  </si>
  <si>
    <t>0881025319045</t>
  </si>
  <si>
    <t>Depok</t>
  </si>
  <si>
    <t>Politeknik Negeri Jakarta</t>
  </si>
  <si>
    <t>Excel, SQL, Python, Power BI, Looker Studio</t>
  </si>
  <si>
    <t>Agam Gunawan Setiaji</t>
  </si>
  <si>
    <t>agasawork@gmail.com</t>
  </si>
  <si>
    <t>085641737295</t>
  </si>
  <si>
    <t>Purworejo</t>
  </si>
  <si>
    <t>Excel, SQL, Python, Looker Studio</t>
  </si>
  <si>
    <t>Agatha Anggriani Tumanggor</t>
  </si>
  <si>
    <t>agathatumanggor07@gmail.com</t>
  </si>
  <si>
    <t>082184471311</t>
  </si>
  <si>
    <t>Tidak ada</t>
  </si>
  <si>
    <t>SQL, Python, Power BI, Looker Studio, Tableau</t>
  </si>
  <si>
    <t>Ageng Pradikta Maulana</t>
  </si>
  <si>
    <t>ageng.pradikta@gmail.com</t>
  </si>
  <si>
    <t>081228618111</t>
  </si>
  <si>
    <t>Malang</t>
  </si>
  <si>
    <t>Sales Area (Infinix Indonesia)</t>
  </si>
  <si>
    <t>Excel</t>
  </si>
  <si>
    <t>agriffa nuzra djolanda</t>
  </si>
  <si>
    <t>agriffaanzr@gmail.com</t>
  </si>
  <si>
    <t>0895415890030</t>
  </si>
  <si>
    <t>Politeknik Takumi</t>
  </si>
  <si>
    <t>Excel, Power BI, Looker Studio, Tableau</t>
  </si>
  <si>
    <t xml:space="preserve">Agung Nugroho </t>
  </si>
  <si>
    <t>agg93nugroho@gmail.com</t>
  </si>
  <si>
    <t>085117531509</t>
  </si>
  <si>
    <t xml:space="preserve">Jakarta </t>
  </si>
  <si>
    <t xml:space="preserve">Phl di RS Bhayangkara Tk I Pusdokkes Polri </t>
  </si>
  <si>
    <t>Excel, SQL, Python, Databases</t>
  </si>
  <si>
    <t>Agung saputra</t>
  </si>
  <si>
    <t>agung12saputra2@gmail.com</t>
  </si>
  <si>
    <t>081290952870</t>
  </si>
  <si>
    <t>Sumatera selatan</t>
  </si>
  <si>
    <t>PT Satria Mayangkara Service</t>
  </si>
  <si>
    <t>Excel, Looker Studio, Databases</t>
  </si>
  <si>
    <t>Agung Turpa</t>
  </si>
  <si>
    <t>agung.turpa@eatsagala.id</t>
  </si>
  <si>
    <t>0895610337754</t>
  </si>
  <si>
    <t>Data operations</t>
  </si>
  <si>
    <t>Excel, SQL, Python, Databases, Tableau</t>
  </si>
  <si>
    <t>Ahmad Aan Said Daroini</t>
  </si>
  <si>
    <t>ahmadaansaiddaroini@gmail.com</t>
  </si>
  <si>
    <t>085608185322</t>
  </si>
  <si>
    <t>Admin support - PT Garis Pertama Solusi</t>
  </si>
  <si>
    <t>SQL, Python, Power BI, Looker Studio</t>
  </si>
  <si>
    <t>Ahmad Barra</t>
  </si>
  <si>
    <t>abvicra@gmail.com</t>
  </si>
  <si>
    <t>085156639669</t>
  </si>
  <si>
    <t>Jakarta</t>
  </si>
  <si>
    <t>Pegawai Swasta - Corporate Banking Relationship Manager</t>
  </si>
  <si>
    <t>Excel, SQL, Python, Power BI, Databases, Tableau</t>
  </si>
  <si>
    <t>AHMAD FADILLAH HARAHAp</t>
  </si>
  <si>
    <t>afadillah117@gmail.com</t>
  </si>
  <si>
    <t>087768885573</t>
  </si>
  <si>
    <t>Fresh graduate</t>
  </si>
  <si>
    <t>Excel, Python, Databases</t>
  </si>
  <si>
    <t>Ahmad Fauzi</t>
  </si>
  <si>
    <t>ahmadfauzi040602@gmail.com</t>
  </si>
  <si>
    <t>087781094363</t>
  </si>
  <si>
    <t>Tangerang Selatan</t>
  </si>
  <si>
    <t>UIN Jakarta</t>
  </si>
  <si>
    <t>ahmad ilham</t>
  </si>
  <si>
    <t>bastian.ilham@hotmail.com</t>
  </si>
  <si>
    <t>08987503222</t>
  </si>
  <si>
    <t>tangerang selatan</t>
  </si>
  <si>
    <t>finance</t>
  </si>
  <si>
    <t>SQL, Python, Power BI, Looker Studio, Databases, Tableau</t>
  </si>
  <si>
    <t>Ahmad MusliADI</t>
  </si>
  <si>
    <t>ahmadmusliadi.wlp@gmail.com</t>
  </si>
  <si>
    <t>085299246868</t>
  </si>
  <si>
    <t>Jobseeker</t>
  </si>
  <si>
    <t>Ahmad naziullah</t>
  </si>
  <si>
    <t>Naziullah7@gmail.com</t>
  </si>
  <si>
    <t>08231225280p</t>
  </si>
  <si>
    <t>Serang</t>
  </si>
  <si>
    <t xml:space="preserve">Excel, SQL, Power BI, </t>
  </si>
  <si>
    <t>Cari Kerja, Upskill, Switch Career</t>
  </si>
  <si>
    <t xml:space="preserve">Ahmad Nur Abdullah </t>
  </si>
  <si>
    <t>ahmadnr360@gmail.com</t>
  </si>
  <si>
    <t>081211737531</t>
  </si>
  <si>
    <t xml:space="preserve">Tangerang Selatan </t>
  </si>
  <si>
    <t xml:space="preserve">mahasiswa </t>
  </si>
  <si>
    <t>Ahmad Raul Sanca Avilio Pratama</t>
  </si>
  <si>
    <t>ahmadraulsancaaviliopratama@gmail.com</t>
  </si>
  <si>
    <t>089614108788</t>
  </si>
  <si>
    <t>Business Intelligence</t>
  </si>
  <si>
    <t>SQL, Python, Power BI, Databases, Tableau</t>
  </si>
  <si>
    <t>Ahmad Rifat Nur Mustopa</t>
  </si>
  <si>
    <t>rifatahmad031001@gmail.com</t>
  </si>
  <si>
    <t>082279790640</t>
  </si>
  <si>
    <t>Jambi</t>
  </si>
  <si>
    <t>Data Management PT Wirakarya Sakti</t>
  </si>
  <si>
    <t>Ahmad Rizki Hardiansyah</t>
  </si>
  <si>
    <t>ahmadrizkihardiansyah@gmail.com</t>
  </si>
  <si>
    <t>088801101132</t>
  </si>
  <si>
    <t>Ojek Online</t>
  </si>
  <si>
    <t>Ahmez faisal abdurrahman</t>
  </si>
  <si>
    <t>Ahmezfaisal21@gmail.com</t>
  </si>
  <si>
    <t>087753343987</t>
  </si>
  <si>
    <t>Cpns kemenag</t>
  </si>
  <si>
    <t>SQL, Python, Power BI, Looker Studio, Databases, Tableau, Data analyst spesifik dunia sosial</t>
  </si>
  <si>
    <t>Ai Shanti Sugianty</t>
  </si>
  <si>
    <t>shantisugianty24@gmail.com</t>
  </si>
  <si>
    <t>0895333146474</t>
  </si>
  <si>
    <t xml:space="preserve">Aikylla Zahra Permana </t>
  </si>
  <si>
    <t>aikyllazahra2646@gmail.com</t>
  </si>
  <si>
    <t>089669278023</t>
  </si>
  <si>
    <t xml:space="preserve">Purwokerto </t>
  </si>
  <si>
    <t xml:space="preserve">Mahasiswa </t>
  </si>
  <si>
    <t>Looker Studio, Tableau</t>
  </si>
  <si>
    <t>Ainayah Alfatihah</t>
  </si>
  <si>
    <t>ainayahalfatihah26@gmail.com</t>
  </si>
  <si>
    <t>089696851417</t>
  </si>
  <si>
    <t>Mahasiswa dan Freelance</t>
  </si>
  <si>
    <t>Aisyah Kirana Putri Isyanto</t>
  </si>
  <si>
    <t>aisyahisyanto@gmail.com</t>
  </si>
  <si>
    <t>081234909715</t>
  </si>
  <si>
    <t>Mojokerto</t>
  </si>
  <si>
    <t>Data Analyst Support - Statsme</t>
  </si>
  <si>
    <t>SQL, Python, Databases</t>
  </si>
  <si>
    <t xml:space="preserve">Aisyah Nuraini </t>
  </si>
  <si>
    <t>nurainiaisyah724@gmail.com</t>
  </si>
  <si>
    <t xml:space="preserve">0858-9028-4815 </t>
  </si>
  <si>
    <t xml:space="preserve">Fresh Graduate </t>
  </si>
  <si>
    <t>Aisyah Syafa Azzahra</t>
  </si>
  <si>
    <t>aisyahsyafazzahra@gmail.com</t>
  </si>
  <si>
    <t>085934847451</t>
  </si>
  <si>
    <t>PT Zyrexindo Mandiri Buana Tbk</t>
  </si>
  <si>
    <t>Excel, SQL, Python, Power BI, Looker Studio, Databases, Tableau, Semua Tools Data Analyst</t>
  </si>
  <si>
    <t>Akbar Fadhillah Irsyad Usman</t>
  </si>
  <si>
    <t>akbarfiusman@gmail.com</t>
  </si>
  <si>
    <t>083188233315</t>
  </si>
  <si>
    <t xml:space="preserve">karyawan swasta </t>
  </si>
  <si>
    <t>Aksa</t>
  </si>
  <si>
    <t>wicaaksaana@gmail.com</t>
  </si>
  <si>
    <t>0813432159315</t>
  </si>
  <si>
    <t>Looker Studio, Databases, Tableau</t>
  </si>
  <si>
    <t xml:space="preserve">Al Furkan </t>
  </si>
  <si>
    <t>alfurkannul098@gmail.com</t>
  </si>
  <si>
    <t>085238912981</t>
  </si>
  <si>
    <t xml:space="preserve">Palangkaraya Kalimantan Tengah </t>
  </si>
  <si>
    <t xml:space="preserve">PT. Gojek Tokopedia </t>
  </si>
  <si>
    <t>SQL</t>
  </si>
  <si>
    <t>Alana Nur Fathu</t>
  </si>
  <si>
    <t>alananf97@gmail.com</t>
  </si>
  <si>
    <t>085540628464</t>
  </si>
  <si>
    <t>Excel, SQL, Python, Tableau</t>
  </si>
  <si>
    <t>Alexander Sinar W</t>
  </si>
  <si>
    <t>Sinar1005@gmail.com</t>
  </si>
  <si>
    <t>089570916382</t>
  </si>
  <si>
    <t>Jember</t>
  </si>
  <si>
    <t>Mahasiswa semester 2</t>
  </si>
  <si>
    <t xml:space="preserve">Alfini Yuliyanti </t>
  </si>
  <si>
    <t>fin.alfini127@gmail.com</t>
  </si>
  <si>
    <t>085156514460</t>
  </si>
  <si>
    <t>Business Data Analis</t>
  </si>
  <si>
    <t>Python, Power BI, Looker Studio, Databases, Tableau</t>
  </si>
  <si>
    <t>Ali Rohman</t>
  </si>
  <si>
    <t>alirohman56@gmail.com</t>
  </si>
  <si>
    <t>089669232481</t>
  </si>
  <si>
    <t>Coordinator Application Development - PT Multi Kontrol Nusantara</t>
  </si>
  <si>
    <t>ETL</t>
  </si>
  <si>
    <t>Alief Akbar</t>
  </si>
  <si>
    <t>alivenata@gmail.com</t>
  </si>
  <si>
    <t>08119365633</t>
  </si>
  <si>
    <t>Data Enginner &amp; Telkomsel</t>
  </si>
  <si>
    <t>Hadoop, Hive Server</t>
  </si>
  <si>
    <t>081219365633</t>
  </si>
  <si>
    <t>Jakarta Utara</t>
  </si>
  <si>
    <t>Data Engineer &amp; Automation reporting</t>
  </si>
  <si>
    <t>Tableau</t>
  </si>
  <si>
    <t>alisa salsabila</t>
  </si>
  <si>
    <t>alisasalsabila0673@gmail.com</t>
  </si>
  <si>
    <t>082331360179</t>
  </si>
  <si>
    <t>surabaya</t>
  </si>
  <si>
    <t>data analyst pt ratna asia</t>
  </si>
  <si>
    <t>SQL, Databases, Tableau</t>
  </si>
  <si>
    <t>Alisyah Permatasari</t>
  </si>
  <si>
    <t>permata.alisy@gmail.com</t>
  </si>
  <si>
    <t>085179802420</t>
  </si>
  <si>
    <t>Inventory Management &amp; Cipta Kridatama</t>
  </si>
  <si>
    <t>Excel, SQL, Power BI, Databases, Tableau</t>
  </si>
  <si>
    <t xml:space="preserve">Alvita Ambarsari </t>
  </si>
  <si>
    <t>alvitaambarsa@gmail.com</t>
  </si>
  <si>
    <t>085325110545</t>
  </si>
  <si>
    <t xml:space="preserve">Surabaya </t>
  </si>
  <si>
    <t xml:space="preserve">Universitas Teknologi Surabaya </t>
  </si>
  <si>
    <t>Excel, SQL, Python, Looker Studio, Databases</t>
  </si>
  <si>
    <t>Alvito Prasetyo</t>
  </si>
  <si>
    <t>alvitoaha05@gmail.com</t>
  </si>
  <si>
    <t>085156374617</t>
  </si>
  <si>
    <t>Chemical Researchwr</t>
  </si>
  <si>
    <t>Python, Power BI, Looker Studio, Databases</t>
  </si>
  <si>
    <t xml:space="preserve">Amalia Arinal Haq </t>
  </si>
  <si>
    <t>amalhaq3112@gmail.com</t>
  </si>
  <si>
    <t>083854425802</t>
  </si>
  <si>
    <t xml:space="preserve">Sidoarjo </t>
  </si>
  <si>
    <t xml:space="preserve">PT. Tiga Berlian Mandiri </t>
  </si>
  <si>
    <t>Amalia Putri</t>
  </si>
  <si>
    <t>amaliaputriii27@gmail.com</t>
  </si>
  <si>
    <t>088985245151</t>
  </si>
  <si>
    <t>Universitas Negeri Surabaya</t>
  </si>
  <si>
    <t>AMANG MISBAH</t>
  </si>
  <si>
    <t>amangmisbah52@gmail.com</t>
  </si>
  <si>
    <t>082321118508</t>
  </si>
  <si>
    <t>Jakarta Selatan</t>
  </si>
  <si>
    <t>Data Engineer</t>
  </si>
  <si>
    <t>Amelia Fadhillah</t>
  </si>
  <si>
    <t>ameliafadhillah57@gmail.com</t>
  </si>
  <si>
    <t>087808009547</t>
  </si>
  <si>
    <t>Data Analyst</t>
  </si>
  <si>
    <t>SQL, Python, Power BI, Databases</t>
  </si>
  <si>
    <t>Amru</t>
  </si>
  <si>
    <t>kanshayami@gmail.com</t>
  </si>
  <si>
    <t>082187775702</t>
  </si>
  <si>
    <t xml:space="preserve">Ana Eta Hidayati </t>
  </si>
  <si>
    <t>Hidayatianaeta@gmail.com</t>
  </si>
  <si>
    <t>085159030133</t>
  </si>
  <si>
    <t>Business development &amp; Global Putra Internasional Group</t>
  </si>
  <si>
    <t>Ananda Chindi Dwi Putri</t>
  </si>
  <si>
    <t>anandachindi6@gmail.com</t>
  </si>
  <si>
    <t>085821913174</t>
  </si>
  <si>
    <t>Palangkaraya</t>
  </si>
  <si>
    <t>Andarias</t>
  </si>
  <si>
    <t>alexaaudrey345@gmail.com</t>
  </si>
  <si>
    <t>082155892535</t>
  </si>
  <si>
    <t>Balikpapan</t>
  </si>
  <si>
    <t>Andhika</t>
  </si>
  <si>
    <t>andikaquimico@gmail.com</t>
  </si>
  <si>
    <t>085363008069</t>
  </si>
  <si>
    <t>PARINGIN</t>
  </si>
  <si>
    <t>WIRASWASTA</t>
  </si>
  <si>
    <t>Excel, SQL, Power BI, Databases</t>
  </si>
  <si>
    <t>Andi Mamhola</t>
  </si>
  <si>
    <t>exaudi.ljp@gmail.com</t>
  </si>
  <si>
    <t>0895321338951</t>
  </si>
  <si>
    <t>Pemerintahan</t>
  </si>
  <si>
    <t>SQL, Looker Studio</t>
  </si>
  <si>
    <t>Andi nurfarhan assaq makumpelle</t>
  </si>
  <si>
    <t>andi11farhan@gmail.com</t>
  </si>
  <si>
    <t>081818860803</t>
  </si>
  <si>
    <t>Jakarta selatan</t>
  </si>
  <si>
    <t>Andi Riska Fitriani</t>
  </si>
  <si>
    <t>andiriskafitriani8@gmail.com</t>
  </si>
  <si>
    <t>095190081964</t>
  </si>
  <si>
    <t>Bulukumba</t>
  </si>
  <si>
    <t>IRT</t>
  </si>
  <si>
    <t>Andini Laviva Yana Ardita Wijaya</t>
  </si>
  <si>
    <t>andini.laviva.305@gmail.com</t>
  </si>
  <si>
    <t>089612128105</t>
  </si>
  <si>
    <t>Tulungagung</t>
  </si>
  <si>
    <t>SCO JNE</t>
  </si>
  <si>
    <t xml:space="preserve">Andreas Wahyu Kurniawan </t>
  </si>
  <si>
    <t>wahyukurniawan7374@gmail.com</t>
  </si>
  <si>
    <t>082323403911</t>
  </si>
  <si>
    <t xml:space="preserve">Yogyakarta </t>
  </si>
  <si>
    <t xml:space="preserve">Wiraswasta </t>
  </si>
  <si>
    <t>Andres Panchrista</t>
  </si>
  <si>
    <t>andrespanchrista@gmail.com</t>
  </si>
  <si>
    <t>081318235417</t>
  </si>
  <si>
    <t>Project Management &amp; NTi</t>
  </si>
  <si>
    <t>Andrie Mustika Rainy</t>
  </si>
  <si>
    <t>andrie.rainy@gmail.com</t>
  </si>
  <si>
    <t>082112015376</t>
  </si>
  <si>
    <t>Tanjung Enim, Sumatera Selatan</t>
  </si>
  <si>
    <t>Karyaean Swasta</t>
  </si>
  <si>
    <t>andy kristiyan ardianto</t>
  </si>
  <si>
    <t xml:space="preserve">kristblogspot@gmail.com </t>
  </si>
  <si>
    <t>081347842174</t>
  </si>
  <si>
    <t>sangatta</t>
  </si>
  <si>
    <t>maintenance instruktur , februari pindah jabatan menjadi maintenance planner</t>
  </si>
  <si>
    <t>Excel, Python, Power BI, Databases</t>
  </si>
  <si>
    <t xml:space="preserve">Angelina Wardani </t>
  </si>
  <si>
    <t>angelinawardaa11@gmail.com</t>
  </si>
  <si>
    <t>085755554957</t>
  </si>
  <si>
    <t xml:space="preserve">Anggelika Br Silaban </t>
  </si>
  <si>
    <t>anggelikasilaban06@gmail.com</t>
  </si>
  <si>
    <t>081370899150</t>
  </si>
  <si>
    <t xml:space="preserve">Jakarta Timur </t>
  </si>
  <si>
    <t xml:space="preserve">Belum bekerja </t>
  </si>
  <si>
    <t>Excel, SQL, Python</t>
  </si>
  <si>
    <t>Angger Zufan Hanggara</t>
  </si>
  <si>
    <t>anggerzhr@gmail.com</t>
  </si>
  <si>
    <t>08887060286</t>
  </si>
  <si>
    <t>Surakarta</t>
  </si>
  <si>
    <t>Mahasiswa Universitas Sebelas Maret</t>
  </si>
  <si>
    <t>Anggi</t>
  </si>
  <si>
    <t>Angger</t>
  </si>
  <si>
    <t>085158700150</t>
  </si>
  <si>
    <t>Logistik</t>
  </si>
  <si>
    <t>Anggi Riani Nurmudhi'ah</t>
  </si>
  <si>
    <t>anggirn03@gmail.com</t>
  </si>
  <si>
    <t>082378235663</t>
  </si>
  <si>
    <t>Palembang</t>
  </si>
  <si>
    <t>Cari Kerja, Networking, Switch Career</t>
  </si>
  <si>
    <t>Anggita Anastya</t>
  </si>
  <si>
    <t>anggitaanastya83@gmail.com</t>
  </si>
  <si>
    <t>089611357078</t>
  </si>
  <si>
    <t>Lampung</t>
  </si>
  <si>
    <t>Anggreta Sela Indriaputri</t>
  </si>
  <si>
    <t>anggretasela123@gmail.com</t>
  </si>
  <si>
    <t>0895327074221</t>
  </si>
  <si>
    <t>DKI Jakarta</t>
  </si>
  <si>
    <t>Technical Support - PLN ICONPLUS</t>
  </si>
  <si>
    <t>SQL, Python, Power BI, Tableau</t>
  </si>
  <si>
    <t>Aninda Syifa Rosita Uyun</t>
  </si>
  <si>
    <t>anindasyifarositauyun@gmail.com</t>
  </si>
  <si>
    <t>08569022344</t>
  </si>
  <si>
    <t>PT HWI</t>
  </si>
  <si>
    <t>Anis Merida Nasywa</t>
  </si>
  <si>
    <t>anasywa76@gmail.com</t>
  </si>
  <si>
    <t>085142427956</t>
  </si>
  <si>
    <t>Malang, Jawa Timur</t>
  </si>
  <si>
    <t>Mahasiswa di UIN Maulana Malik Ibrahim Malang</t>
  </si>
  <si>
    <t>Anisa Nur Fitri</t>
  </si>
  <si>
    <t>anisanurfitri300@gmail.com</t>
  </si>
  <si>
    <t>082282110287</t>
  </si>
  <si>
    <t>Magang di Kementrian Pertanian</t>
  </si>
  <si>
    <t>Anisa Rosdiana</t>
  </si>
  <si>
    <t>anisaros03@gmail.com</t>
  </si>
  <si>
    <t>082123932790</t>
  </si>
  <si>
    <t>Supply Chain Management Officer</t>
  </si>
  <si>
    <t>Anjas Roy Rizki</t>
  </si>
  <si>
    <t>anjasrisk25@gmail.com</t>
  </si>
  <si>
    <t>089618467388</t>
  </si>
  <si>
    <t>Semarang</t>
  </si>
  <si>
    <t>Unnisula</t>
  </si>
  <si>
    <t xml:space="preserve">Annida Syamsa Hawa </t>
  </si>
  <si>
    <t>annidasyamsa2@gmail.com</t>
  </si>
  <si>
    <t>089516719920</t>
  </si>
  <si>
    <t>Annisa Helly Suranda</t>
  </si>
  <si>
    <t>nisahelly15@gmail.com</t>
  </si>
  <si>
    <t>081539356952</t>
  </si>
  <si>
    <t>Bengkulu</t>
  </si>
  <si>
    <t>Annisa Larasati</t>
  </si>
  <si>
    <t>annisalarasati.all@gmail.com</t>
  </si>
  <si>
    <t>089601630666</t>
  </si>
  <si>
    <t>Accounting Staff</t>
  </si>
  <si>
    <t>Annisa Novantika</t>
  </si>
  <si>
    <t>annisanovantika.a@gmail.com</t>
  </si>
  <si>
    <t>082278822285</t>
  </si>
  <si>
    <t>Magang - KPPN Liwa</t>
  </si>
  <si>
    <t>Anson</t>
  </si>
  <si>
    <t>ansonkm123@gmail.com</t>
  </si>
  <si>
    <t>082390283788</t>
  </si>
  <si>
    <t>Batam</t>
  </si>
  <si>
    <t>Anwar Sanusi</t>
  </si>
  <si>
    <t>sanusia836@gmail.com</t>
  </si>
  <si>
    <t>082246853717</t>
  </si>
  <si>
    <t xml:space="preserve">RNO Engineer </t>
  </si>
  <si>
    <t>SQL, Python, Databases, Tableau</t>
  </si>
  <si>
    <t>Apria Sandi</t>
  </si>
  <si>
    <t>arioario2200@gmail.com</t>
  </si>
  <si>
    <t>081359140348</t>
  </si>
  <si>
    <t>SQL, Power BI, Tableau</t>
  </si>
  <si>
    <t>Aprida Saragih</t>
  </si>
  <si>
    <t>saragih.aprida@gmail.com</t>
  </si>
  <si>
    <t>081377472205</t>
  </si>
  <si>
    <t>Excel, SQL, Tableau</t>
  </si>
  <si>
    <t>Aprilia Kezia Massangka</t>
  </si>
  <si>
    <t>apriliakeziamassangka@gmail.com</t>
  </si>
  <si>
    <t>085227227164</t>
  </si>
  <si>
    <t>Data Analyst PT. Satu Sama Jaya Abadi</t>
  </si>
  <si>
    <t>Apriliani Fauziyyah</t>
  </si>
  <si>
    <t>Aprilianifauziyyah04@gmail.com</t>
  </si>
  <si>
    <t>082137707479</t>
  </si>
  <si>
    <t>Brebes</t>
  </si>
  <si>
    <t xml:space="preserve">Aprilya Cinta Widyaningrum </t>
  </si>
  <si>
    <t>aprilya200318@gmail.com</t>
  </si>
  <si>
    <t>082234864963</t>
  </si>
  <si>
    <t>Kediri</t>
  </si>
  <si>
    <t>Uniska</t>
  </si>
  <si>
    <t xml:space="preserve">Excel, SQL, Python, Power BI, Looker Studio, Databases, </t>
  </si>
  <si>
    <t>aprizal</t>
  </si>
  <si>
    <t>aprizal17a@gmail.com</t>
  </si>
  <si>
    <t>085973146721</t>
  </si>
  <si>
    <t xml:space="preserve">JAKARTA SELATAN </t>
  </si>
  <si>
    <t>PEGAWAI SWASTA</t>
  </si>
  <si>
    <t>Aprizal</t>
  </si>
  <si>
    <t xml:space="preserve">Jakarta selatan </t>
  </si>
  <si>
    <t>Pegawai swasta</t>
  </si>
  <si>
    <t xml:space="preserve">Excel, SQL, Python, Power BI, Looker Studio, Databases, Tableau, Skill komunikasi </t>
  </si>
  <si>
    <t xml:space="preserve">Ardi Gunawan Pratama </t>
  </si>
  <si>
    <t>ardigunawanpratama@gmail.com</t>
  </si>
  <si>
    <t>081222769057</t>
  </si>
  <si>
    <t xml:space="preserve">UPN Veteran Yogyakarta — Mahasiswa </t>
  </si>
  <si>
    <t>Arfan Astadi</t>
  </si>
  <si>
    <t>arfanastadi@gmail.com</t>
  </si>
  <si>
    <t>085176910924</t>
  </si>
  <si>
    <t>Arifin Nurmuhammad Syarifudin</t>
  </si>
  <si>
    <t>arifinnurmuhammad787@gmail.com</t>
  </si>
  <si>
    <t>081384257750</t>
  </si>
  <si>
    <t>Bogor</t>
  </si>
  <si>
    <t>belum bekerja</t>
  </si>
  <si>
    <t xml:space="preserve">Arisy Mirzal </t>
  </si>
  <si>
    <t>arisymirzal@gmail.com</t>
  </si>
  <si>
    <t>085156515394</t>
  </si>
  <si>
    <t>Magang Kemnaker di BPS Provinsi Sumatera Barat,</t>
  </si>
  <si>
    <t>SQL, Power BI, Looker Studio, Databases</t>
  </si>
  <si>
    <t xml:space="preserve">Asep Firman </t>
  </si>
  <si>
    <t>thereal.asep.firman@gmail.com</t>
  </si>
  <si>
    <t>085656564143</t>
  </si>
  <si>
    <t xml:space="preserve">Pensiunan pegawai swasta </t>
  </si>
  <si>
    <t>Ashadi</t>
  </si>
  <si>
    <t>adh13forester@gmail.com</t>
  </si>
  <si>
    <t>081346213517</t>
  </si>
  <si>
    <t>Riau</t>
  </si>
  <si>
    <t>Asisten Lab &amp; APP grup</t>
  </si>
  <si>
    <t>Excel, Power BI, Databases</t>
  </si>
  <si>
    <t xml:space="preserve">Asmi </t>
  </si>
  <si>
    <t>azmirizkyaa@gmail.com</t>
  </si>
  <si>
    <t>082124529106</t>
  </si>
  <si>
    <t>Purwakarta</t>
  </si>
  <si>
    <t xml:space="preserve">Athalia Dwiyansari Qomar </t>
  </si>
  <si>
    <t>qomarsaritata@gmail.com</t>
  </si>
  <si>
    <t>085150766617</t>
  </si>
  <si>
    <t>Klaten</t>
  </si>
  <si>
    <t>Tutor &amp; Genza Education</t>
  </si>
  <si>
    <t>Excel, SQL, Databases</t>
  </si>
  <si>
    <t>Athallah</t>
  </si>
  <si>
    <t>athallahwr@gmail.com</t>
  </si>
  <si>
    <t>08336853013</t>
  </si>
  <si>
    <t>Sumber Alfaria Trijaya</t>
  </si>
  <si>
    <t>SQL, Python</t>
  </si>
  <si>
    <t>Athaya Akbar Ramdani</t>
  </si>
  <si>
    <t>athayaramdani74@gmail.com</t>
  </si>
  <si>
    <t>081387006088</t>
  </si>
  <si>
    <t>Universitas Brawijaya</t>
  </si>
  <si>
    <t>091387006088</t>
  </si>
  <si>
    <t>atika putri</t>
  </si>
  <si>
    <t>atikakhanza24@gmail.com</t>
  </si>
  <si>
    <t>089699317178</t>
  </si>
  <si>
    <t>pontianak</t>
  </si>
  <si>
    <t>freshgraduate</t>
  </si>
  <si>
    <t>Atub Candra</t>
  </si>
  <si>
    <t>candraqolby@gmail.com</t>
  </si>
  <si>
    <t>08114702672</t>
  </si>
  <si>
    <t>Sidoarjo</t>
  </si>
  <si>
    <t>HR</t>
  </si>
  <si>
    <t>Aulia Dina Savitri</t>
  </si>
  <si>
    <t>Auliadinas11@gmail.com</t>
  </si>
  <si>
    <t>082231371997</t>
  </si>
  <si>
    <t>Aulia Firdatunnisa</t>
  </si>
  <si>
    <t>auliafirdatunnisa91@gmail.com</t>
  </si>
  <si>
    <t>081461173989</t>
  </si>
  <si>
    <t>Ciamis</t>
  </si>
  <si>
    <t>Fresh Graduate</t>
  </si>
  <si>
    <t>Excel, SQL, Power BI, Looker Studio, Databases, Tableau</t>
  </si>
  <si>
    <t>Ave Lisa Sihombing</t>
  </si>
  <si>
    <t>ave.sihombing022@gmail.com</t>
  </si>
  <si>
    <t>081397257612</t>
  </si>
  <si>
    <t>Avifuddin Sandi</t>
  </si>
  <si>
    <t>avifuddinsandi21@gmail.com</t>
  </si>
  <si>
    <t>081294820696</t>
  </si>
  <si>
    <t>Cilegon</t>
  </si>
  <si>
    <t>Data Analyst - Wilmar Group</t>
  </si>
  <si>
    <t>avissa salsabila</t>
  </si>
  <si>
    <t>salsagharifa@gmail.com</t>
  </si>
  <si>
    <t>081235583932</t>
  </si>
  <si>
    <t xml:space="preserve">Internship </t>
  </si>
  <si>
    <t>Excel, Power BI, Looker Studio</t>
  </si>
  <si>
    <t>Axmal Fauza</t>
  </si>
  <si>
    <t>axmalfauza01@gmail.com</t>
  </si>
  <si>
    <t>081285617127</t>
  </si>
  <si>
    <t xml:space="preserve">Equity Research Analyst (PT Korea Investments and Sekuritas Indonesia) </t>
  </si>
  <si>
    <t>Excel, SQL, Python, Power BI, Looker Studio, Databases, Tableau, Machine learning &amp; AI</t>
  </si>
  <si>
    <t>Ayu</t>
  </si>
  <si>
    <t>ayuprammesti@gmail.com</t>
  </si>
  <si>
    <t>087838620218</t>
  </si>
  <si>
    <t>Ibu rumah tangga</t>
  </si>
  <si>
    <t>Ayu Fadjriyanti</t>
  </si>
  <si>
    <t>ayu.fadjriyanti@gmail.com</t>
  </si>
  <si>
    <t>0881025831545</t>
  </si>
  <si>
    <t xml:space="preserve">Jakarta Selatan </t>
  </si>
  <si>
    <t>Belum ada</t>
  </si>
  <si>
    <t>Ayu Lestari</t>
  </si>
  <si>
    <t>ayulestarisultan05@gmail.com</t>
  </si>
  <si>
    <t>085398515827</t>
  </si>
  <si>
    <t>Universitas Negeri Makassar</t>
  </si>
  <si>
    <t>Aziz Setiawan</t>
  </si>
  <si>
    <t>aziezzee2002@gmail.com</t>
  </si>
  <si>
    <t>083145062631</t>
  </si>
  <si>
    <t>Quality Assurance</t>
  </si>
  <si>
    <t>Azmi Muhammad Nafis</t>
  </si>
  <si>
    <t>azminafis37@gmail.com</t>
  </si>
  <si>
    <t>089515204969</t>
  </si>
  <si>
    <t>Commercial at Paragon</t>
  </si>
  <si>
    <t xml:space="preserve">Azriel Hidayatullah </t>
  </si>
  <si>
    <t>hidayatullahazriel01@gmail.com</t>
  </si>
  <si>
    <t>081339511399</t>
  </si>
  <si>
    <t xml:space="preserve">Probolinggo </t>
  </si>
  <si>
    <t xml:space="preserve">Dispatch, PT Ergusa Resources </t>
  </si>
  <si>
    <t>Excel, SQL, Power BI</t>
  </si>
  <si>
    <t>Badry Ali Mustofa</t>
  </si>
  <si>
    <t>badryalimustofa88@gmail.com</t>
  </si>
  <si>
    <t>081215614004</t>
  </si>
  <si>
    <t>Grobogan</t>
  </si>
  <si>
    <t>Belum bekerja</t>
  </si>
  <si>
    <t xml:space="preserve">Bagas Aqmal Febrianto </t>
  </si>
  <si>
    <t>bagasaqmal70@gmail.com</t>
  </si>
  <si>
    <t>081283340361</t>
  </si>
  <si>
    <t>Home Credit Indonesia - DS</t>
  </si>
  <si>
    <t>Bagus Desna Mukti</t>
  </si>
  <si>
    <t>bagusdm98@gmail.com</t>
  </si>
  <si>
    <t>0895415073669</t>
  </si>
  <si>
    <t>Balqis Putri Muharda</t>
  </si>
  <si>
    <t>balqis.muharda@gmail.com</t>
  </si>
  <si>
    <t>082111308271</t>
  </si>
  <si>
    <t>Bambang Sukoco</t>
  </si>
  <si>
    <t>bambangsukoco77@gmail.com</t>
  </si>
  <si>
    <t>082125508067</t>
  </si>
  <si>
    <t>Bekasi Jawa Barat</t>
  </si>
  <si>
    <t>Staff Kemenhub</t>
  </si>
  <si>
    <t xml:space="preserve">Berlian Hani </t>
  </si>
  <si>
    <t>berlian.bh17@gmail.com</t>
  </si>
  <si>
    <t>081393955073</t>
  </si>
  <si>
    <t>Wonogiri</t>
  </si>
  <si>
    <t xml:space="preserve">Supply Chain and Management </t>
  </si>
  <si>
    <t>Beta Narulita Aprilia</t>
  </si>
  <si>
    <t>betaaprilia725@gmail.com</t>
  </si>
  <si>
    <t>085648603159</t>
  </si>
  <si>
    <t>Depok Jawa Barat</t>
  </si>
  <si>
    <t>Admin Operasional - Memovest Corp</t>
  </si>
  <si>
    <t>Bhima Niandra Bachtiar</t>
  </si>
  <si>
    <t>bimaniandra15@gmail.com</t>
  </si>
  <si>
    <t>085357595607</t>
  </si>
  <si>
    <t>Mahsiswa</t>
  </si>
  <si>
    <t>Bima Fajar Miko</t>
  </si>
  <si>
    <t>bimafajarmiko@gmail.com</t>
  </si>
  <si>
    <t>082266575830</t>
  </si>
  <si>
    <t>Bintang Ary Pradana</t>
  </si>
  <si>
    <t>bintangarypradana123@gmail.com</t>
  </si>
  <si>
    <t>083815428703</t>
  </si>
  <si>
    <t>Power BI, Apache Airflow</t>
  </si>
  <si>
    <t>Bintang Sirius</t>
  </si>
  <si>
    <t>bintang.sirius.me@gmail.com</t>
  </si>
  <si>
    <t>081311186214</t>
  </si>
  <si>
    <t>Biyan Daniswara</t>
  </si>
  <si>
    <t>biyan.dswr@gmail.com</t>
  </si>
  <si>
    <t>085895090636</t>
  </si>
  <si>
    <t>Mahasiswa Politeknik Elektronika Negeri Surabaya</t>
  </si>
  <si>
    <t>Bonifasius Sinurat</t>
  </si>
  <si>
    <t>bonifasiusx@gmail.com</t>
  </si>
  <si>
    <t>0811399913</t>
  </si>
  <si>
    <t>Job Seeker</t>
  </si>
  <si>
    <t>SQL, Python, Power BI, Looker Studio, Databases</t>
  </si>
  <si>
    <t>Bryan Florentino Leo</t>
  </si>
  <si>
    <t>bryanflorentinoleo@gmail.com</t>
  </si>
  <si>
    <t>081287666692</t>
  </si>
  <si>
    <t>Junior Data Modelling &amp; Quality Engineer - AXA Mandiri Financial Services</t>
  </si>
  <si>
    <t>Power BI, Looker Studio, Databases, Tableau</t>
  </si>
  <si>
    <t>Bryant Steven Aritonang</t>
  </si>
  <si>
    <t>bryantstevenarios@gmail.com</t>
  </si>
  <si>
    <t>081263126712</t>
  </si>
  <si>
    <t>Cahyani Putri Pangestu</t>
  </si>
  <si>
    <t>Cahyani.pangestu@gmail.com</t>
  </si>
  <si>
    <t>085156960938</t>
  </si>
  <si>
    <t>Branch analytic officer di PT KB FINANSIA MULTIFINANCE</t>
  </si>
  <si>
    <t>Cesya Sevie Yandira</t>
  </si>
  <si>
    <t>cesyasevie@gmail.com</t>
  </si>
  <si>
    <t>081398083143</t>
  </si>
  <si>
    <t>Swasta</t>
  </si>
  <si>
    <t xml:space="preserve">Chelsea Ayu Adhigiadany </t>
  </si>
  <si>
    <t xml:space="preserve">chelseaadhigiass@gmail.com </t>
  </si>
  <si>
    <t>081912174611</t>
  </si>
  <si>
    <t xml:space="preserve">mojokerto </t>
  </si>
  <si>
    <t>data analyst support - StatsMe</t>
  </si>
  <si>
    <t>Chinthia Putri</t>
  </si>
  <si>
    <t>chintiazulfikar10@gmail.com</t>
  </si>
  <si>
    <t>085722416667</t>
  </si>
  <si>
    <t xml:space="preserve">Subang </t>
  </si>
  <si>
    <t>Cindy Injilia S</t>
  </si>
  <si>
    <t>cindyinjilias794@gmail.com</t>
  </si>
  <si>
    <t>081262073448</t>
  </si>
  <si>
    <t>Universitas Negeri Medan</t>
  </si>
  <si>
    <t>Cindy Mustika Weny</t>
  </si>
  <si>
    <t>cindymustika1909@gmail.com</t>
  </si>
  <si>
    <t>085841565880</t>
  </si>
  <si>
    <t>Mahasiswa_Universitas Lampung</t>
  </si>
  <si>
    <t>Power BI, Tableau</t>
  </si>
  <si>
    <t>Cindy Vionita Handoko</t>
  </si>
  <si>
    <t>cindyvionitahh@gmail.com</t>
  </si>
  <si>
    <t>085339087160</t>
  </si>
  <si>
    <t>Sosmed Marketing</t>
  </si>
  <si>
    <t>Dania amelia</t>
  </si>
  <si>
    <t>niadaamel@gmail.com</t>
  </si>
  <si>
    <t>081296625919</t>
  </si>
  <si>
    <t>Sedang tidak bekerja</t>
  </si>
  <si>
    <t xml:space="preserve">Davin Alifian Nurindra </t>
  </si>
  <si>
    <t>davinalifian178@gmail.com</t>
  </si>
  <si>
    <t>081214245731</t>
  </si>
  <si>
    <t>Davina Dwi Angelica</t>
  </si>
  <si>
    <t>davinadwiangelica@gmail.com</t>
  </si>
  <si>
    <t>085814021065</t>
  </si>
  <si>
    <t xml:space="preserve">Data visualization / Data Analyst </t>
  </si>
  <si>
    <t xml:space="preserve">Deden </t>
  </si>
  <si>
    <t>Odennurhadian@gmail.com</t>
  </si>
  <si>
    <t>08996321019</t>
  </si>
  <si>
    <t>Off</t>
  </si>
  <si>
    <t>Deka</t>
  </si>
  <si>
    <t>amagisorakun@gmail.com</t>
  </si>
  <si>
    <t>085282504617</t>
  </si>
  <si>
    <t xml:space="preserve">Dendy Kurniari Agman </t>
  </si>
  <si>
    <t>dendy.kurniary@gmail.com</t>
  </si>
  <si>
    <t>089694322041</t>
  </si>
  <si>
    <t>Deni Elmar</t>
  </si>
  <si>
    <t>denielmar75@gmail.com</t>
  </si>
  <si>
    <t>082116938157</t>
  </si>
  <si>
    <t>PT Arista Elektrika Indonesia</t>
  </si>
  <si>
    <t>Desk Noviyanti</t>
  </si>
  <si>
    <t>noviyantidesi01@gmail.com</t>
  </si>
  <si>
    <t>082119051840</t>
  </si>
  <si>
    <t>Operational Support</t>
  </si>
  <si>
    <t>Desy Rahmawati</t>
  </si>
  <si>
    <t>Desyrahmawati.work@gmail.com</t>
  </si>
  <si>
    <t>08981050080</t>
  </si>
  <si>
    <t>Jakarta Barat</t>
  </si>
  <si>
    <t>Operation Specialist- PT. Yoona Digital Indonesia</t>
  </si>
  <si>
    <t>Devira Auriga</t>
  </si>
  <si>
    <t>deviraauriga12@gmail.com</t>
  </si>
  <si>
    <t>085754588655</t>
  </si>
  <si>
    <t>Universitas Airlangga</t>
  </si>
  <si>
    <t>SQL, Looker Studio, Databases, Tableau</t>
  </si>
  <si>
    <t>Devita Hasnasya Rahma</t>
  </si>
  <si>
    <t>devitahasnasya@gmailcom</t>
  </si>
  <si>
    <t>085880894556</t>
  </si>
  <si>
    <t>Mahasiswa, Institut Bisnis Dan Informatika Kesatuan</t>
  </si>
  <si>
    <t>Dewa Brata</t>
  </si>
  <si>
    <t>dewbrata19@gmail.com</t>
  </si>
  <si>
    <t>08990754454</t>
  </si>
  <si>
    <t>Dhimas Andreas Prayoga</t>
  </si>
  <si>
    <t>andreas7tixier@gmail.com</t>
  </si>
  <si>
    <t>081328991899</t>
  </si>
  <si>
    <t xml:space="preserve">Dicky Firdaus Kurniawan </t>
  </si>
  <si>
    <t>dicky1.fk2806@gmail.com</t>
  </si>
  <si>
    <t>089513143787</t>
  </si>
  <si>
    <t>Jaksel</t>
  </si>
  <si>
    <t xml:space="preserve">Business Development di PT adinata mitra solusi </t>
  </si>
  <si>
    <t>Didit Aditya Ezza Adzani</t>
  </si>
  <si>
    <t>diditadityaezzaadzani@gmail.com</t>
  </si>
  <si>
    <t>081224288870</t>
  </si>
  <si>
    <t>Lead Data Analyst - Kick Avenue</t>
  </si>
  <si>
    <t>Dika Isnaida</t>
  </si>
  <si>
    <t>dikaisna123@gmail.com</t>
  </si>
  <si>
    <t>088803808950</t>
  </si>
  <si>
    <t>Tulungagung, Jawa Timur</t>
  </si>
  <si>
    <t>Pondok Pesantren Walibarokah</t>
  </si>
  <si>
    <t xml:space="preserve">Dila Agmel Purba </t>
  </si>
  <si>
    <t>diladilaaja888@gmail.com</t>
  </si>
  <si>
    <t>085262367955</t>
  </si>
  <si>
    <t xml:space="preserve">Sumatera Utara </t>
  </si>
  <si>
    <t>DIMAS ARIE PRASOJO</t>
  </si>
  <si>
    <t>inboxdimas@gmail.com</t>
  </si>
  <si>
    <t>087884883282</t>
  </si>
  <si>
    <t>PT Samproo</t>
  </si>
  <si>
    <t>dimas ayika</t>
  </si>
  <si>
    <t>dimayy17@gmail.com</t>
  </si>
  <si>
    <t>081274115101</t>
  </si>
  <si>
    <t>kalimantan timur</t>
  </si>
  <si>
    <t>mining</t>
  </si>
  <si>
    <t>Dimas Bagas Cholissetyawan</t>
  </si>
  <si>
    <t>bagasdimas242@gmail.com</t>
  </si>
  <si>
    <t>081338945247</t>
  </si>
  <si>
    <t>Dimas Chaidir Adinugroho</t>
  </si>
  <si>
    <t>dimaschaidirad@gmail.com</t>
  </si>
  <si>
    <t>081315339822</t>
  </si>
  <si>
    <t>Kota Depok</t>
  </si>
  <si>
    <t>Pascasarjana ITB</t>
  </si>
  <si>
    <t>Dina Amelia Alzahra</t>
  </si>
  <si>
    <t>dina.amelia19016@gmail.com</t>
  </si>
  <si>
    <t>0895604007272</t>
  </si>
  <si>
    <t>Dina Asia Putri</t>
  </si>
  <si>
    <t>dinaasiap3105@gmail.com</t>
  </si>
  <si>
    <t>085664698289</t>
  </si>
  <si>
    <t>Belitung</t>
  </si>
  <si>
    <t>Dina Lestari</t>
  </si>
  <si>
    <t>Lestaridina096@gmail.com</t>
  </si>
  <si>
    <t>085721597198</t>
  </si>
  <si>
    <t>Cirebon</t>
  </si>
  <si>
    <t>Dinar Putra Mubarok</t>
  </si>
  <si>
    <t>dinar.mubarok23@student.uisi.ac.id</t>
  </si>
  <si>
    <t>082140399150</t>
  </si>
  <si>
    <t>Mahasiswa semester 5 Sistem Infromasi</t>
  </si>
  <si>
    <t>Dinda Putri Maisyaroh</t>
  </si>
  <si>
    <t>dindapm19@gmail.com</t>
  </si>
  <si>
    <t>081371468594</t>
  </si>
  <si>
    <t>Agronomist Intern di PT Digital SawitPRO</t>
  </si>
  <si>
    <t>SQL, Power BI, Looker Studio</t>
  </si>
  <si>
    <t>Disya Nurul Ariza</t>
  </si>
  <si>
    <t>disyaaarizaaa24@gmail.com</t>
  </si>
  <si>
    <t>089528640636</t>
  </si>
  <si>
    <t>Ditto Ridhwan Wibowo</t>
  </si>
  <si>
    <t>dittoridhwanw@gmail.com</t>
  </si>
  <si>
    <t>082125531148</t>
  </si>
  <si>
    <t>Magang Data Analyst</t>
  </si>
  <si>
    <t>Excel, SQL, Python, Power BI, Looker Studio, Databases, Tableau, Bahasa pemrograman R</t>
  </si>
  <si>
    <t xml:space="preserve">Diva Aliyah </t>
  </si>
  <si>
    <t>divaaliyah15@gmail.com</t>
  </si>
  <si>
    <t>081270422055</t>
  </si>
  <si>
    <t>Sosial media analyst intern</t>
  </si>
  <si>
    <t>Diyah Ayu Setyo Nur Zam Zami</t>
  </si>
  <si>
    <t>ayuzamy65@gmail.com</t>
  </si>
  <si>
    <t>085747991768</t>
  </si>
  <si>
    <t>Revenue Assurance</t>
  </si>
  <si>
    <t>Excel, SQL, Python, Power BI, Looker Studio, Databases, Tableau, PostgreSQL</t>
  </si>
  <si>
    <t>Dwi hariyanto</t>
  </si>
  <si>
    <t>dwi.hariyanto99@gmail.com</t>
  </si>
  <si>
    <t>08115400468</t>
  </si>
  <si>
    <t>Karyawan swasta</t>
  </si>
  <si>
    <t>Dwi Putri Juliana Purba</t>
  </si>
  <si>
    <t>Purbadwijuliana@gmail.com</t>
  </si>
  <si>
    <t>081268115101</t>
  </si>
  <si>
    <t>Pekerja Sosial</t>
  </si>
  <si>
    <t>Excel, Databases, Tableau</t>
  </si>
  <si>
    <t>Dwina Pramesti Ayu Putri</t>
  </si>
  <si>
    <t>dwinaputri4122@gmail.com</t>
  </si>
  <si>
    <t>081217512674</t>
  </si>
  <si>
    <t>Dyah Ayu Goldy</t>
  </si>
  <si>
    <t>dyahayugoldy@gmail.com</t>
  </si>
  <si>
    <t>081383405097</t>
  </si>
  <si>
    <t>Staff Warehouse</t>
  </si>
  <si>
    <t>Dyahasti Arethia</t>
  </si>
  <si>
    <t>dyahastia@gmail.com</t>
  </si>
  <si>
    <t>0882003314461</t>
  </si>
  <si>
    <t>Cari kerja</t>
  </si>
  <si>
    <t>Dyrn zefanya</t>
  </si>
  <si>
    <t>dryndarmawan@gmail.com</t>
  </si>
  <si>
    <t>089690757512</t>
  </si>
  <si>
    <t>IT &amp; Digital Marketing Specialist</t>
  </si>
  <si>
    <t xml:space="preserve">Edi Pranata </t>
  </si>
  <si>
    <t>edipranata0572@gmail.com</t>
  </si>
  <si>
    <t>082267077269</t>
  </si>
  <si>
    <t xml:space="preserve">QA, PT </t>
  </si>
  <si>
    <t xml:space="preserve">Excel, SQL, Python, Power BI, Looker Studio, Databases, Tableau, </t>
  </si>
  <si>
    <t>Edith Firjatullah</t>
  </si>
  <si>
    <t>edithfirjatullah@gmail.com</t>
  </si>
  <si>
    <t>085162645547</t>
  </si>
  <si>
    <t>Mahasiswa - Universitas Trunojoyo Madura</t>
  </si>
  <si>
    <t>Eka Samsiati Putri</t>
  </si>
  <si>
    <t>eksamforfreelance@gmail.com</t>
  </si>
  <si>
    <t>088233042193</t>
  </si>
  <si>
    <t>DA - Datains</t>
  </si>
  <si>
    <t xml:space="preserve">Eka Silvia </t>
  </si>
  <si>
    <t>ekasilvia450@gmail.com</t>
  </si>
  <si>
    <t>088216789251</t>
  </si>
  <si>
    <t xml:space="preserve">Magelang </t>
  </si>
  <si>
    <t>Excel, Databases</t>
  </si>
  <si>
    <t>ekibachtiar</t>
  </si>
  <si>
    <t>ekibachtiar53@gmail.com</t>
  </si>
  <si>
    <t>087857184999</t>
  </si>
  <si>
    <t>Kendal</t>
  </si>
  <si>
    <t>Freshgraduate</t>
  </si>
  <si>
    <t>Eko januardi panca</t>
  </si>
  <si>
    <t>ekojanuardipanca05@gmail.com</t>
  </si>
  <si>
    <t>082260940002</t>
  </si>
  <si>
    <t>Road Traffic Control</t>
  </si>
  <si>
    <t>Python, Power BI, Looker Studio</t>
  </si>
  <si>
    <t>Elang Ardra</t>
  </si>
  <si>
    <t>elangardra.a@gmail.com</t>
  </si>
  <si>
    <t>081223926414</t>
  </si>
  <si>
    <t>Data Processor - Pertamina (Persero)</t>
  </si>
  <si>
    <t xml:space="preserve">Eliyani Safitri </t>
  </si>
  <si>
    <t>eliyanisafitri8@gmail.com</t>
  </si>
  <si>
    <t>082390251474</t>
  </si>
  <si>
    <t xml:space="preserve">Universitas Muhammadiyah Riau </t>
  </si>
  <si>
    <t>Eric triputta witono</t>
  </si>
  <si>
    <t>ericredjacket@gmail.com</t>
  </si>
  <si>
    <t>08977269027</t>
  </si>
  <si>
    <t>Karyawan</t>
  </si>
  <si>
    <t xml:space="preserve">Ericha </t>
  </si>
  <si>
    <t>ericharizki12@gmail.com</t>
  </si>
  <si>
    <t>085765991971</t>
  </si>
  <si>
    <t>Politeknik Negeri Malang</t>
  </si>
  <si>
    <t>Excel, SQL, Python, Power BI, Looker Studio, Databases, Tableau, big data</t>
  </si>
  <si>
    <t xml:space="preserve">Erlangga Dimas Suryadi </t>
  </si>
  <si>
    <t>erlanggadimassuryadi@gmail.com</t>
  </si>
  <si>
    <t>088238403652</t>
  </si>
  <si>
    <t>Erlangga pernando</t>
  </si>
  <si>
    <t>erlanggapernando@gmail.com</t>
  </si>
  <si>
    <t>081295540385</t>
  </si>
  <si>
    <t>Kab. Tangerang</t>
  </si>
  <si>
    <t>PT Torabika Eka Semesta</t>
  </si>
  <si>
    <t>Erviany Indira Rismayanti</t>
  </si>
  <si>
    <t>Ervianyindirar@gmail.com</t>
  </si>
  <si>
    <t>089644972743</t>
  </si>
  <si>
    <t>Denpasar</t>
  </si>
  <si>
    <t>Karyawan Swasta</t>
  </si>
  <si>
    <t>Evy Teguh Wuryaningrum</t>
  </si>
  <si>
    <t>evyteguhwuryaningrum2002@gmail.com</t>
  </si>
  <si>
    <t>081336342077</t>
  </si>
  <si>
    <t>Staff Akademik</t>
  </si>
  <si>
    <t>Power BI, Databases, Tableau</t>
  </si>
  <si>
    <t>Fadhil Azmi Ihsan</t>
  </si>
  <si>
    <t>ihsanfadhilazmi@gmail.com</t>
  </si>
  <si>
    <t>081586986958</t>
  </si>
  <si>
    <t>Tidak Bekerja</t>
  </si>
  <si>
    <t>Python, Databases, Tableau</t>
  </si>
  <si>
    <t>Fadhila Klara Yuniar</t>
  </si>
  <si>
    <t>fadhilaklarayuniar@gmail.com</t>
  </si>
  <si>
    <t>085175361562</t>
  </si>
  <si>
    <t>PIC Warehouse</t>
  </si>
  <si>
    <t>Fadhlulloh Khoiri</t>
  </si>
  <si>
    <t>fkhoiri98@gmail.com</t>
  </si>
  <si>
    <t>081381005863</t>
  </si>
  <si>
    <t>Guru di salah satu SMK</t>
  </si>
  <si>
    <t xml:space="preserve">Fadia Rahmawati </t>
  </si>
  <si>
    <t>fadiarahmawati562@gmail.com</t>
  </si>
  <si>
    <t>08984552523</t>
  </si>
  <si>
    <t xml:space="preserve"> </t>
  </si>
  <si>
    <t>Cari Kerja, Switch Career</t>
  </si>
  <si>
    <t>Fadlan Naufal Fajari</t>
  </si>
  <si>
    <t>fadlannf123@gmail.com</t>
  </si>
  <si>
    <t>0895335815985</t>
  </si>
  <si>
    <t xml:space="preserve">Karawang </t>
  </si>
  <si>
    <t>Fadly Ghazi</t>
  </si>
  <si>
    <t>fadlyghazi6@outlook.com</t>
  </si>
  <si>
    <t>083874471144</t>
  </si>
  <si>
    <t>Mahasiswa/Pelajar</t>
  </si>
  <si>
    <t xml:space="preserve">Fahry </t>
  </si>
  <si>
    <t>fahrycipta@gmail.com</t>
  </si>
  <si>
    <t>081293182643</t>
  </si>
  <si>
    <t>Klinik</t>
  </si>
  <si>
    <t xml:space="preserve">Excel, SQL, Python, Power BI, Looker Studio, Databases, Tableau, Di awal ingin Excel terlebih dahulu </t>
  </si>
  <si>
    <t>Faisal hakim akbar alhaqq</t>
  </si>
  <si>
    <t>faisalhakimaa08@gmail.com</t>
  </si>
  <si>
    <t>085878361575</t>
  </si>
  <si>
    <t>Faiz Alief Ramadhan</t>
  </si>
  <si>
    <t>faizalieframadhan@gmail.com</t>
  </si>
  <si>
    <t>089669333616</t>
  </si>
  <si>
    <t>Senior Operational Risk Intern - PT Bank Mandiri (Persero)</t>
  </si>
  <si>
    <t>Senior operational Risk intern - PT Bank Mandiri (Persero)</t>
  </si>
  <si>
    <t xml:space="preserve">Faizal Febrian </t>
  </si>
  <si>
    <t>Fzfzlfhrz48@gmail.com</t>
  </si>
  <si>
    <t xml:space="preserve">0858-2458-8225 </t>
  </si>
  <si>
    <t>Majasiswa, UNSIKA</t>
  </si>
  <si>
    <t>Faizal muhamad iqbal</t>
  </si>
  <si>
    <t>fmiqbal66@gmail.com</t>
  </si>
  <si>
    <t>089523013056</t>
  </si>
  <si>
    <t>Fullstack web developer</t>
  </si>
  <si>
    <t>Python, Power BI, Tableau</t>
  </si>
  <si>
    <t>Fajri Octadiansyah Umar</t>
  </si>
  <si>
    <t>dian_zexion@yahoo.co.id</t>
  </si>
  <si>
    <t>085946055386</t>
  </si>
  <si>
    <t>Data Scienstist</t>
  </si>
  <si>
    <t>semua</t>
  </si>
  <si>
    <t>Fajri octadiansyah umar</t>
  </si>
  <si>
    <t>DS &amp; Swasta</t>
  </si>
  <si>
    <t>Python, Power BI, Databases</t>
  </si>
  <si>
    <t>Fajrul Abdillah</t>
  </si>
  <si>
    <t>jrulabdillah22@gmail.com</t>
  </si>
  <si>
    <t>08128922205</t>
  </si>
  <si>
    <t>Karawang</t>
  </si>
  <si>
    <t>PT Pupuk Kujang</t>
  </si>
  <si>
    <t>Falah Novayanda Adlin</t>
  </si>
  <si>
    <t>falah11adlin@gmail.com</t>
  </si>
  <si>
    <t>081220111638</t>
  </si>
  <si>
    <t>Data Scientist Assc. at Pt. Metrodata</t>
  </si>
  <si>
    <t>Python, Pipilene automation</t>
  </si>
  <si>
    <t>Fani dwi cahyono</t>
  </si>
  <si>
    <t>Fanidwicahyono11@gmail.com</t>
  </si>
  <si>
    <t>08970933093</t>
  </si>
  <si>
    <t>Tuban, east java</t>
  </si>
  <si>
    <t>Faradina Yusri A</t>
  </si>
  <si>
    <t>faradinayusri86@gmail.com</t>
  </si>
  <si>
    <t>089601546034</t>
  </si>
  <si>
    <t>Farah Nabilah</t>
  </si>
  <si>
    <t>Nabilahfarah0@gmail.com</t>
  </si>
  <si>
    <t>081287468636</t>
  </si>
  <si>
    <t>Data analyst &amp; FMCG</t>
  </si>
  <si>
    <t>Faranisa Rizkia Handono</t>
  </si>
  <si>
    <t>faranisarh@gmail.com</t>
  </si>
  <si>
    <t>085891317675</t>
  </si>
  <si>
    <t>Jatinangor</t>
  </si>
  <si>
    <t>Mahasiswa &amp; Universitas Padjadjaran</t>
  </si>
  <si>
    <t>Farhan</t>
  </si>
  <si>
    <t>Sejati555@gmail.com</t>
  </si>
  <si>
    <t>08973797888</t>
  </si>
  <si>
    <t>Farida Fadilah</t>
  </si>
  <si>
    <t>faridafadilah42807@gmail.com</t>
  </si>
  <si>
    <t>08815877610</t>
  </si>
  <si>
    <t>Fullstack Developer</t>
  </si>
  <si>
    <t>Excel, Python, Power BI, Looker Studio, Tableau</t>
  </si>
  <si>
    <t>Faris Isham Wiryansyah</t>
  </si>
  <si>
    <t>farisisham@gmail.com</t>
  </si>
  <si>
    <t>085161610343</t>
  </si>
  <si>
    <t>Pelajar</t>
  </si>
  <si>
    <t>Fariz Risqi Maulana</t>
  </si>
  <si>
    <t>farizr.official@gmail.com</t>
  </si>
  <si>
    <t>081110136901</t>
  </si>
  <si>
    <t>Lion Air Group</t>
  </si>
  <si>
    <t>Farlan Manungki</t>
  </si>
  <si>
    <t>farlanmanungki24@gmail.com</t>
  </si>
  <si>
    <t>085157331814</t>
  </si>
  <si>
    <t>Sulawesi Tengah</t>
  </si>
  <si>
    <t xml:space="preserve">Auditor internal  &amp; Finance </t>
  </si>
  <si>
    <t>Excel, SQL, Power BI, Databases, Tableau, R Studio</t>
  </si>
  <si>
    <t>Farras Adani As Shidiq</t>
  </si>
  <si>
    <t>farrasasshidiq5@gmail.com</t>
  </si>
  <si>
    <t>081316363181</t>
  </si>
  <si>
    <t>Masih cari kerja</t>
  </si>
  <si>
    <t>masih cari kerja</t>
  </si>
  <si>
    <t>Fatih Dzakwan Susilo</t>
  </si>
  <si>
    <t>fatihdzakwansusilo@gmail.com</t>
  </si>
  <si>
    <t>0895340293854</t>
  </si>
  <si>
    <t>STT Terpadu Nurul Fikri</t>
  </si>
  <si>
    <t>Fatimah Muthi Sakinah</t>
  </si>
  <si>
    <t>muthi.sakinah@gmail.com</t>
  </si>
  <si>
    <t>085320424112</t>
  </si>
  <si>
    <t xml:space="preserve">Tasikmalaya </t>
  </si>
  <si>
    <t>Belum Bekerja</t>
  </si>
  <si>
    <t>SQL, Power BI, Databases</t>
  </si>
  <si>
    <t>Fatimah Ramatias</t>
  </si>
  <si>
    <t>fatimahrama21@gmail.com</t>
  </si>
  <si>
    <t>081808938962</t>
  </si>
  <si>
    <t>Mahasiswi</t>
  </si>
  <si>
    <t>Faturahman</t>
  </si>
  <si>
    <t>faturcanavaro183@gmail.com</t>
  </si>
  <si>
    <t>083829099100</t>
  </si>
  <si>
    <t>Freelancer</t>
  </si>
  <si>
    <t>Fatwa Rafiudin</t>
  </si>
  <si>
    <t>fatwa.rafi.work@gmail.com</t>
  </si>
  <si>
    <t>08121264190</t>
  </si>
  <si>
    <t>CSON SME</t>
  </si>
  <si>
    <t>Python, Power BI, Looker Studio, Tableau</t>
  </si>
  <si>
    <t xml:space="preserve">Fatwa Rafiudin </t>
  </si>
  <si>
    <t>SME CSON</t>
  </si>
  <si>
    <t>Fauza Lail</t>
  </si>
  <si>
    <t>fauzaalaill11@gmail.com</t>
  </si>
  <si>
    <t>087889898537</t>
  </si>
  <si>
    <t>Fauzan Ramadhan Putra</t>
  </si>
  <si>
    <t>fauzan.rp1234@gmail.com</t>
  </si>
  <si>
    <t>087748760484</t>
  </si>
  <si>
    <t>Fauzi Muhamad Asril</t>
  </si>
  <si>
    <t>fauziasril39@gmail.com</t>
  </si>
  <si>
    <t>081219825863</t>
  </si>
  <si>
    <t>Febian Haydar Pratama</t>
  </si>
  <si>
    <t>febianhaydar20@gmail.com</t>
  </si>
  <si>
    <t>085643945783</t>
  </si>
  <si>
    <t xml:space="preserve">belum bekerja </t>
  </si>
  <si>
    <t>Felix Atmaja</t>
  </si>
  <si>
    <t>felix2001atmaja@gmail.com</t>
  </si>
  <si>
    <t>082334742996</t>
  </si>
  <si>
    <t>SIG</t>
  </si>
  <si>
    <t>Ferdy Hartanto Primanda</t>
  </si>
  <si>
    <t>ferdyhartanto77@gmail.com</t>
  </si>
  <si>
    <t>085218454174</t>
  </si>
  <si>
    <t>Crew Store</t>
  </si>
  <si>
    <t>Ferdyan Ilhaam</t>
  </si>
  <si>
    <t>ferilhaam@gmail.com</t>
  </si>
  <si>
    <t>085867031515</t>
  </si>
  <si>
    <t>Tim Media Kreatif &amp; Swasta</t>
  </si>
  <si>
    <t>Excel, Python, Looker Studio</t>
  </si>
  <si>
    <t>Fernando Hasiholan Sinaga</t>
  </si>
  <si>
    <t>fernandosinaga2002@gmail.com</t>
  </si>
  <si>
    <t>085668749176</t>
  </si>
  <si>
    <t>Medan, Sumatera Utara</t>
  </si>
  <si>
    <t>Masih job seeker</t>
  </si>
  <si>
    <t>Ferrari Nusa Mahendra</t>
  </si>
  <si>
    <t>ferrarinusa@gmail.com</t>
  </si>
  <si>
    <t>087739462301</t>
  </si>
  <si>
    <t>Mahasiswa - Universitas Diponegoro</t>
  </si>
  <si>
    <t>Fikri mandala</t>
  </si>
  <si>
    <t>muhammadfikrirm20@gmail.com</t>
  </si>
  <si>
    <t>088210352150</t>
  </si>
  <si>
    <t>universitas gunadarma</t>
  </si>
  <si>
    <t>Fikri Maulana Eldi</t>
  </si>
  <si>
    <t>23fikrimaulanaeldi@gmail.com</t>
  </si>
  <si>
    <t>0895602569641</t>
  </si>
  <si>
    <t>Universitas Negeri Padang</t>
  </si>
  <si>
    <t>Excel, Python, Looker Studio, Databases, Tableau</t>
  </si>
  <si>
    <t>Firdausy Rahmadina Khansa</t>
  </si>
  <si>
    <t>firdausykhansa123@gmail.com</t>
  </si>
  <si>
    <t>087756766687</t>
  </si>
  <si>
    <t>Jawa Timur</t>
  </si>
  <si>
    <t>Data analyst</t>
  </si>
  <si>
    <t>Firmansyah Tristadika Prakosa</t>
  </si>
  <si>
    <t>tristadika@gmail.com</t>
  </si>
  <si>
    <t>085155098838</t>
  </si>
  <si>
    <t>SPX Express</t>
  </si>
  <si>
    <t>Fisabilillah</t>
  </si>
  <si>
    <t>fisabilillah712@gmail.com</t>
  </si>
  <si>
    <t>087889219840</t>
  </si>
  <si>
    <t>Fitra Nur Ramadhan</t>
  </si>
  <si>
    <t>fitranurramadhan241@gmail.com</t>
  </si>
  <si>
    <t>089618937392</t>
  </si>
  <si>
    <t>Excel, SQL, Python, Power BI, Looker Studio, Tableau, Google Colab</t>
  </si>
  <si>
    <t>Fitria Anggraini</t>
  </si>
  <si>
    <t>ftranggra23@gmail.com</t>
  </si>
  <si>
    <t>0881027881161</t>
  </si>
  <si>
    <t>Francesco Theodore Budiman</t>
  </si>
  <si>
    <t>francescobudiman@gmail.com</t>
  </si>
  <si>
    <t>0895337365765</t>
  </si>
  <si>
    <t>Sukabumi</t>
  </si>
  <si>
    <t>fransiska malita</t>
  </si>
  <si>
    <t>fransiskamalita0@gmail.com</t>
  </si>
  <si>
    <t>0895326382917</t>
  </si>
  <si>
    <t>bekasi</t>
  </si>
  <si>
    <t>surveillance &amp; finance</t>
  </si>
  <si>
    <t xml:space="preserve">Frisca Dwi Imroatus Solihah </t>
  </si>
  <si>
    <t>friscadwii19@gmail.com</t>
  </si>
  <si>
    <t>087724060337</t>
  </si>
  <si>
    <t>Kota Bekasi</t>
  </si>
  <si>
    <t xml:space="preserve">Unemployed </t>
  </si>
  <si>
    <t xml:space="preserve">Excel, SQL, Python, Power BI, Databases, Tableau, ETL, Big Data, Business Inteligent, Meching Learning </t>
  </si>
  <si>
    <t>Gaby</t>
  </si>
  <si>
    <t>imandagabriela45@gmail.com</t>
  </si>
  <si>
    <t>081909993643</t>
  </si>
  <si>
    <t>Document control</t>
  </si>
  <si>
    <t xml:space="preserve">Gading Viwieanti Eka Nur Fazriah </t>
  </si>
  <si>
    <t>gadingvi02@gmail.com</t>
  </si>
  <si>
    <t>081281453768</t>
  </si>
  <si>
    <t>Data analyst/nadeem</t>
  </si>
  <si>
    <t>Gery Febrianto</t>
  </si>
  <si>
    <t>febrianto.gery@gmail.com</t>
  </si>
  <si>
    <t>085894998880</t>
  </si>
  <si>
    <t>SPX</t>
  </si>
  <si>
    <t>Ghania Fazila</t>
  </si>
  <si>
    <t>ghaniafazila5@gmail.com</t>
  </si>
  <si>
    <t>089656069707</t>
  </si>
  <si>
    <t>Bandung Barat</t>
  </si>
  <si>
    <t>Koor media dan Data, LAZ Rumah Peduli Umat</t>
  </si>
  <si>
    <t>Ghazian Hindami</t>
  </si>
  <si>
    <t>ghazianhindami35@gmail.com</t>
  </si>
  <si>
    <t>081359631723</t>
  </si>
  <si>
    <t>Thinkmatch</t>
  </si>
  <si>
    <t xml:space="preserve">Ghina Amelia Fitriani </t>
  </si>
  <si>
    <t>ghinamelia05@gmail.com</t>
  </si>
  <si>
    <t>085714172388</t>
  </si>
  <si>
    <t xml:space="preserve">Universitas Islam Indonesia </t>
  </si>
  <si>
    <t>GILANG SIDIK RAMADHAN</t>
  </si>
  <si>
    <t>gilangsidikr01@gmail.com</t>
  </si>
  <si>
    <t>+6281283831886</t>
  </si>
  <si>
    <t>BEKASI</t>
  </si>
  <si>
    <t>WAREHOUSE STAFF</t>
  </si>
  <si>
    <t>Gilang Walenna</t>
  </si>
  <si>
    <t>Glg.santiung@gmail.com</t>
  </si>
  <si>
    <t>08114605239</t>
  </si>
  <si>
    <t>Guru di sekolah swasta</t>
  </si>
  <si>
    <t xml:space="preserve">Excel, </t>
  </si>
  <si>
    <t>Ginda Teguh Imani</t>
  </si>
  <si>
    <t>gindateguh@gmail.com</t>
  </si>
  <si>
    <t>0895602384810</t>
  </si>
  <si>
    <t xml:space="preserve">Padang Panjang </t>
  </si>
  <si>
    <t>Belum Bekerja (Job Seeker)</t>
  </si>
  <si>
    <t>Gita Nurlaila</t>
  </si>
  <si>
    <t>Gitanurlaila8@gmail.com</t>
  </si>
  <si>
    <t>081901248700</t>
  </si>
  <si>
    <t>Pontianak</t>
  </si>
  <si>
    <t>Pengajar - PT. Ruang Raya Indonesia</t>
  </si>
  <si>
    <t>GIS</t>
  </si>
  <si>
    <t>Glenferdinza Aghis Asyadda Rayndika Efian</t>
  </si>
  <si>
    <t>glenferdinza21@gmail.com</t>
  </si>
  <si>
    <t>0895417300520</t>
  </si>
  <si>
    <t>Mahasisa/Pelajar</t>
  </si>
  <si>
    <t>Excel, Python</t>
  </si>
  <si>
    <t>Habib Febersi</t>
  </si>
  <si>
    <t>hafal.febersi@gmail.com</t>
  </si>
  <si>
    <t>081268175206</t>
  </si>
  <si>
    <t>Habiba Salma</t>
  </si>
  <si>
    <t>biba.salma@gmail.com</t>
  </si>
  <si>
    <t>081916663376</t>
  </si>
  <si>
    <t>risk manager (break career)</t>
  </si>
  <si>
    <t xml:space="preserve">Haditsman Al Amin </t>
  </si>
  <si>
    <t>ihaditman@gmail.com</t>
  </si>
  <si>
    <t>082197176118</t>
  </si>
  <si>
    <t xml:space="preserve">Kendari </t>
  </si>
  <si>
    <t xml:space="preserve">Konsultan Tambang </t>
  </si>
  <si>
    <t>Hadriana Nurul Pertiwi</t>
  </si>
  <si>
    <t>hadriananurulpertiwi@gmail.com</t>
  </si>
  <si>
    <t>082193043944</t>
  </si>
  <si>
    <t>Programmer</t>
  </si>
  <si>
    <t>Hafizh Riyandi Fawwaz</t>
  </si>
  <si>
    <t>hafizhrf3072@gmail.com</t>
  </si>
  <si>
    <t>082123370220</t>
  </si>
  <si>
    <t>Data Analyst - Internship &amp; Ditjen Minerba</t>
  </si>
  <si>
    <t>Excel, SQL, Python, Power BI, Looker Studio, Databases, Tableau, Streamlit</t>
  </si>
  <si>
    <t>Hainur Rasyid</t>
  </si>
  <si>
    <t>085313114422</t>
  </si>
  <si>
    <t>Kisaran Sumatera Utara</t>
  </si>
  <si>
    <t>Dosen</t>
  </si>
  <si>
    <t>Hanif Razin Rahmatullah</t>
  </si>
  <si>
    <t>hanifrazin@gmail.com</t>
  </si>
  <si>
    <t>085778475279</t>
  </si>
  <si>
    <t>QA Automation Engineer &amp; instansi di NTT DATA</t>
  </si>
  <si>
    <t xml:space="preserve">Hanifah Mar'atus Sholihah </t>
  </si>
  <si>
    <t>hanifahhufa@gmail.com</t>
  </si>
  <si>
    <t>085728952498</t>
  </si>
  <si>
    <t xml:space="preserve">Mahasiswa, Universitas Muhammadiyah Purwokerto </t>
  </si>
  <si>
    <t>Hanna Nurhanifah</t>
  </si>
  <si>
    <t>hanurhanifah@gmail.com</t>
  </si>
  <si>
    <t>085314831650</t>
  </si>
  <si>
    <t>Tasikmalaya</t>
  </si>
  <si>
    <t>RnD namikita</t>
  </si>
  <si>
    <t>Hanny</t>
  </si>
  <si>
    <t>hannyyosephine37@gmail.com</t>
  </si>
  <si>
    <t>082115257721</t>
  </si>
  <si>
    <t xml:space="preserve">Mobile Banking </t>
  </si>
  <si>
    <t>Power BI, Looker Studio</t>
  </si>
  <si>
    <t>Harisman Arif</t>
  </si>
  <si>
    <t>harisman.arif7@gmail.com</t>
  </si>
  <si>
    <t>085768898157</t>
  </si>
  <si>
    <t>Sumedang</t>
  </si>
  <si>
    <t>Haryani Choiriah</t>
  </si>
  <si>
    <t>haryanichoiria@gmail.com</t>
  </si>
  <si>
    <t>089660146391</t>
  </si>
  <si>
    <t>asisten teacher di kumon</t>
  </si>
  <si>
    <t>Hasna Nailah Azalia</t>
  </si>
  <si>
    <t>azaliahsna12@gmail.com</t>
  </si>
  <si>
    <t>088976050501</t>
  </si>
  <si>
    <t>Mahasiswa (Universitas Singaperbangsa Karawang)</t>
  </si>
  <si>
    <t>Haykal Alya Mubarak</t>
  </si>
  <si>
    <t>haykalalya82@gmail.com</t>
  </si>
  <si>
    <t>082283599309</t>
  </si>
  <si>
    <t>Hazar Maliki Hidayat</t>
  </si>
  <si>
    <t>hazarmalikh@gmail.com</t>
  </si>
  <si>
    <t>085155024565</t>
  </si>
  <si>
    <t>Bandung, Jawa Barat</t>
  </si>
  <si>
    <t>Magang Asisten Analis Data</t>
  </si>
  <si>
    <t>Hedrik</t>
  </si>
  <si>
    <t>hendrikende@gmail.com</t>
  </si>
  <si>
    <t>082255147345</t>
  </si>
  <si>
    <t>Kalimantan Timur</t>
  </si>
  <si>
    <t>PT. Bina Sarana Sukses</t>
  </si>
  <si>
    <t>Excel, Python, Power BI, Databases, Tableau</t>
  </si>
  <si>
    <t>Helman Efendi</t>
  </si>
  <si>
    <t>helmansijabat7@gmail.com</t>
  </si>
  <si>
    <t>081291240434</t>
  </si>
  <si>
    <t xml:space="preserve">ATCS kementerian perhubungan </t>
  </si>
  <si>
    <t xml:space="preserve">Hendry Wijaya </t>
  </si>
  <si>
    <t>hendrywijaya628@gmail.com</t>
  </si>
  <si>
    <t>085213567627</t>
  </si>
  <si>
    <t xml:space="preserve">Masih mencari </t>
  </si>
  <si>
    <t>Hendrywijaya628@gmail.com</t>
  </si>
  <si>
    <t>085213567267</t>
  </si>
  <si>
    <t>Masih mencari</t>
  </si>
  <si>
    <t xml:space="preserve">Excel, SQL, Python, Power BI, Looker Studio, Databases, Tableau, Cloud Computing </t>
  </si>
  <si>
    <t>Herman Effendi</t>
  </si>
  <si>
    <t>hermaneffendi0502@gmail.com</t>
  </si>
  <si>
    <t>085784492325</t>
  </si>
  <si>
    <t>Banyuwangi, Jawa Timur</t>
  </si>
  <si>
    <t>Hernandia Zanua Leras</t>
  </si>
  <si>
    <t>hernandiazanua@gmail.com</t>
  </si>
  <si>
    <t>083109376438</t>
  </si>
  <si>
    <t>Belum bekerja masih up skills</t>
  </si>
  <si>
    <t>Hildanniar Fauzi</t>
  </si>
  <si>
    <t>hildanniarf6@gmail.com</t>
  </si>
  <si>
    <t>089685015606</t>
  </si>
  <si>
    <t>Madiun</t>
  </si>
  <si>
    <t>Admin Sales / PT.Central Proteina Prima</t>
  </si>
  <si>
    <t>PT. Central Proteina Prima</t>
  </si>
  <si>
    <t>Hilman Adhi Kurniawan</t>
  </si>
  <si>
    <t>hilman.adi.k@gmail.com</t>
  </si>
  <si>
    <t>085778441906</t>
  </si>
  <si>
    <t>Telekomunikasi</t>
  </si>
  <si>
    <t>Hilmi syahira</t>
  </si>
  <si>
    <t>Syahirahilmi2017@gmail.com</t>
  </si>
  <si>
    <t>081275845648</t>
  </si>
  <si>
    <t>Python, Databases</t>
  </si>
  <si>
    <t>Humaira Zeanova</t>
  </si>
  <si>
    <t>zeanovahumaira@gmail.com</t>
  </si>
  <si>
    <t>085862074192</t>
  </si>
  <si>
    <t>Universitas Padjadjaran</t>
  </si>
  <si>
    <t xml:space="preserve">I Putu Agus Adi Artha </t>
  </si>
  <si>
    <t>putuagus0010@gmail.com</t>
  </si>
  <si>
    <t>085155023577</t>
  </si>
  <si>
    <t xml:space="preserve">Quality Assurance </t>
  </si>
  <si>
    <t>Ica Citra Firdiniyah</t>
  </si>
  <si>
    <t>icacitraa@gmail.com</t>
  </si>
  <si>
    <t>082244005644</t>
  </si>
  <si>
    <t>Ichvan Rachmawan</t>
  </si>
  <si>
    <t>ichvanr@gmail.com</t>
  </si>
  <si>
    <t>082122627336</t>
  </si>
  <si>
    <t>CRD Intern</t>
  </si>
  <si>
    <t>CRD Intern - APP GROUP</t>
  </si>
  <si>
    <t>Ignacia Manuela Bregina</t>
  </si>
  <si>
    <t>ignaciatarigan@gmail.com</t>
  </si>
  <si>
    <t>081319240658</t>
  </si>
  <si>
    <t>Magang - Prudential</t>
  </si>
  <si>
    <t>Ihsan Tridamarefa</t>
  </si>
  <si>
    <t>tridamarefa@gmail.com</t>
  </si>
  <si>
    <t>089618940252</t>
  </si>
  <si>
    <t>Product Analyst - Deliveree</t>
  </si>
  <si>
    <t>Ihsanul Alif</t>
  </si>
  <si>
    <t>ihsanulalif12@gmail.com</t>
  </si>
  <si>
    <t>081288073691</t>
  </si>
  <si>
    <t>ikhwan aditya prahasto</t>
  </si>
  <si>
    <t>prahastoaditya@gmail.com</t>
  </si>
  <si>
    <t>081389031275</t>
  </si>
  <si>
    <t>Harapan Indah</t>
  </si>
  <si>
    <t xml:space="preserve">Pancaran </t>
  </si>
  <si>
    <t xml:space="preserve">Ikmal Thariq Kadafi </t>
  </si>
  <si>
    <t>thariqkadafi@gmail.com</t>
  </si>
  <si>
    <t>082229354257</t>
  </si>
  <si>
    <t xml:space="preserve">Universitas Pembangunan Nasional Veteran Jawa Timur </t>
  </si>
  <si>
    <t xml:space="preserve">SQL, Tableau, AI automation, RAG, LLM </t>
  </si>
  <si>
    <t>Ilham</t>
  </si>
  <si>
    <t>jayailham04@gmail.com</t>
  </si>
  <si>
    <t>081703808153</t>
  </si>
  <si>
    <t xml:space="preserve">Universitas Airlangga </t>
  </si>
  <si>
    <t xml:space="preserve">Ilhan rahmansyah </t>
  </si>
  <si>
    <t>ilhann.rms@gmail.com</t>
  </si>
  <si>
    <t>085156919841</t>
  </si>
  <si>
    <t xml:space="preserve">Sukoharjo </t>
  </si>
  <si>
    <t>Smelter</t>
  </si>
  <si>
    <t>ILI NOVIANA</t>
  </si>
  <si>
    <t>ilinoviana.va@gmail.com</t>
  </si>
  <si>
    <t>081997950308</t>
  </si>
  <si>
    <t xml:space="preserve">Imam </t>
  </si>
  <si>
    <t>imam0067@gmail.com</t>
  </si>
  <si>
    <t>087740813450</t>
  </si>
  <si>
    <t>Data Developer</t>
  </si>
  <si>
    <t>Imam Ahmad Qusyairi</t>
  </si>
  <si>
    <t>imam.aqusairi@gmail.com</t>
  </si>
  <si>
    <t>085892648708</t>
  </si>
  <si>
    <t>Analayst at HUDHUD (Part of FCN Networks)</t>
  </si>
  <si>
    <t>Imam dwi purwanto</t>
  </si>
  <si>
    <t>Imamdpurwanto11@gmail.com</t>
  </si>
  <si>
    <t>0895418179797</t>
  </si>
  <si>
    <t>Mataram</t>
  </si>
  <si>
    <t xml:space="preserve">Imam Qori </t>
  </si>
  <si>
    <t>qorimukminin77@gmail.com</t>
  </si>
  <si>
    <t>085888635484</t>
  </si>
  <si>
    <t>Driver ojol dan Mandor Peternakan Ikan</t>
  </si>
  <si>
    <t>Imam Qori Mukminin</t>
  </si>
  <si>
    <t>Driver ojol</t>
  </si>
  <si>
    <t>Mandor peternakan ikan</t>
  </si>
  <si>
    <t>Indah Dwita Soliha</t>
  </si>
  <si>
    <t>snowhiteindec@gmail.com</t>
  </si>
  <si>
    <t>081369031479</t>
  </si>
  <si>
    <t>Finance &amp; Accountant</t>
  </si>
  <si>
    <t>Ines Halida</t>
  </si>
  <si>
    <t>ineshalida.work@gmail.com</t>
  </si>
  <si>
    <t>085183002301</t>
  </si>
  <si>
    <t>Data Management</t>
  </si>
  <si>
    <t>iqbal</t>
  </si>
  <si>
    <t>iqbalalghifary97@gmail.com</t>
  </si>
  <si>
    <t>088971753855</t>
  </si>
  <si>
    <t>QA Engineer</t>
  </si>
  <si>
    <t>Iqbal Muhammad Hasan Sembiring</t>
  </si>
  <si>
    <t>iqbalmhs18@gmail.com</t>
  </si>
  <si>
    <t>08985468934</t>
  </si>
  <si>
    <t>Mahasiswa UIN Syarif Hidayatullah Jakarta</t>
  </si>
  <si>
    <t>Excel, SQL, Python, Power BI, Looker Studio, Databases, Tableau, HTML, CSS, C, JAVASCRIPT</t>
  </si>
  <si>
    <t xml:space="preserve">Iqrar Nusantara Manoppo </t>
  </si>
  <si>
    <t>iqrarnusantara@gmail.com</t>
  </si>
  <si>
    <t>085372571685</t>
  </si>
  <si>
    <t>Palu</t>
  </si>
  <si>
    <t xml:space="preserve">Supervisor Logistik BORWITA </t>
  </si>
  <si>
    <t>Power BI</t>
  </si>
  <si>
    <t xml:space="preserve">Irfa Ahmad Rifa'i </t>
  </si>
  <si>
    <t>irfaahmadr28@gmail.com</t>
  </si>
  <si>
    <t>089690566166</t>
  </si>
  <si>
    <t>Kuningan</t>
  </si>
  <si>
    <t>Excel, SQL, Python, Looker Studio, Tableau</t>
  </si>
  <si>
    <t>Irfan Gautama</t>
  </si>
  <si>
    <t>Irfan.gautama@gmail.com</t>
  </si>
  <si>
    <t>081369089236</t>
  </si>
  <si>
    <t>Sumatera Selatan</t>
  </si>
  <si>
    <t>OFN</t>
  </si>
  <si>
    <t>Irfan Maulana</t>
  </si>
  <si>
    <t>irfanmau1605@gmail.com</t>
  </si>
  <si>
    <t>082297100196</t>
  </si>
  <si>
    <t xml:space="preserve">Irfan Yusra Athallah </t>
  </si>
  <si>
    <t>barendvansmith@gmail.com</t>
  </si>
  <si>
    <t>0895701196458</t>
  </si>
  <si>
    <t xml:space="preserve">Mahasiswa di Universitas Padjadjaran </t>
  </si>
  <si>
    <t>irisaliya irhabiyah banat</t>
  </si>
  <si>
    <t>irisaliya18@gmail.com</t>
  </si>
  <si>
    <t>082333571494</t>
  </si>
  <si>
    <t>Mahasiswa Universitas Airlangga</t>
  </si>
  <si>
    <t>Irpan</t>
  </si>
  <si>
    <t>irpanpilihann@gmail.com</t>
  </si>
  <si>
    <t>085121078896</t>
  </si>
  <si>
    <t>Irsan Syahputra Telaumbanua</t>
  </si>
  <si>
    <t>irsansyahputrabagan@gmail.com</t>
  </si>
  <si>
    <t>081376154734</t>
  </si>
  <si>
    <t>Rokan Hilir, riau</t>
  </si>
  <si>
    <t>Karyawan Swasta di PT Salim Ivomas Pratama Tbk</t>
  </si>
  <si>
    <t>Irwan Amar</t>
  </si>
  <si>
    <t>wcoding6@gmail.com</t>
  </si>
  <si>
    <t>085241785781</t>
  </si>
  <si>
    <t>Kendari</t>
  </si>
  <si>
    <t>Izam Rosiawan</t>
  </si>
  <si>
    <t>izamrosiawan13@gmail.com</t>
  </si>
  <si>
    <t>087720640153</t>
  </si>
  <si>
    <t>Ja'far Shodiq Asmali</t>
  </si>
  <si>
    <t>jafarasmali11@gmail.com</t>
  </si>
  <si>
    <t>089506554890</t>
  </si>
  <si>
    <t>Intern Project Management Officer</t>
  </si>
  <si>
    <t>Jahval Romiz Septrada</t>
  </si>
  <si>
    <t>jahvalromizseptrada@gmail.com</t>
  </si>
  <si>
    <t>081280502642</t>
  </si>
  <si>
    <t>Intern HR Data Analyst</t>
  </si>
  <si>
    <t>Jaka sumanta</t>
  </si>
  <si>
    <t>sumantajaka@gmail.com</t>
  </si>
  <si>
    <t>082157346608</t>
  </si>
  <si>
    <t>Kalsel</t>
  </si>
  <si>
    <t>Excel, Power BI, Looker Studio, Databases</t>
  </si>
  <si>
    <t xml:space="preserve">Jelli Kurnilia </t>
  </si>
  <si>
    <t xml:space="preserve">jkrnl56@gmail.com </t>
  </si>
  <si>
    <t>085783865917</t>
  </si>
  <si>
    <t>jenisa maretasya</t>
  </si>
  <si>
    <t>maretasyaj@gmail.com</t>
  </si>
  <si>
    <t>088270944423</t>
  </si>
  <si>
    <t>kota padang</t>
  </si>
  <si>
    <t>Magang Kemnaker Batch 3-Programming IT/Teknik di Balai Monitor Spektrum Frekuensi Radio Kelas II Padand</t>
  </si>
  <si>
    <t>Jihad Rafsanjani</t>
  </si>
  <si>
    <t>rafsanjanijihad@gmail.com</t>
  </si>
  <si>
    <t>087710106336</t>
  </si>
  <si>
    <t xml:space="preserve">Konsultan ERP </t>
  </si>
  <si>
    <t>Jovi Arnandy</t>
  </si>
  <si>
    <t>joviarnandy@gmail.com</t>
  </si>
  <si>
    <t>081398503431</t>
  </si>
  <si>
    <t>Data Operation, Pandawa</t>
  </si>
  <si>
    <t>Juliano</t>
  </si>
  <si>
    <t>julianolanangz@gmail.com</t>
  </si>
  <si>
    <t>081337257217</t>
  </si>
  <si>
    <t>Surveyor</t>
  </si>
  <si>
    <t>Kahfi aufar mauladi</t>
  </si>
  <si>
    <t>aufarkahfi0706@gmail.com</t>
  </si>
  <si>
    <t>089647655119</t>
  </si>
  <si>
    <t xml:space="preserve">Quality assurance engineer, TGPM Plant Indonesia </t>
  </si>
  <si>
    <t>Kamilah Maulidiyah</t>
  </si>
  <si>
    <t>kamilamaulid@gmail.com</t>
  </si>
  <si>
    <t>085232994042</t>
  </si>
  <si>
    <t>Pasuruan</t>
  </si>
  <si>
    <t>Kelvin Hendersen</t>
  </si>
  <si>
    <t>kelvinhendersen@gmail.com</t>
  </si>
  <si>
    <t>0895358910541</t>
  </si>
  <si>
    <t>Khairunnisa Fajriyanti</t>
  </si>
  <si>
    <t>nisadensi18@gmail.com</t>
  </si>
  <si>
    <t>087747934729</t>
  </si>
  <si>
    <t>Khairunnisa Nurrahmatia Salsabila</t>
  </si>
  <si>
    <t>khairunnisanurrahmatias@gmail.com</t>
  </si>
  <si>
    <t>082170583384</t>
  </si>
  <si>
    <t>Khairunnisa Syakila Atmarini</t>
  </si>
  <si>
    <t>khairunnisasyakilaa@gmail.com</t>
  </si>
  <si>
    <t>082117630686</t>
  </si>
  <si>
    <t>belum bekerja (fresh graduate)</t>
  </si>
  <si>
    <t>Kharanissa Bonang Maryam</t>
  </si>
  <si>
    <t>raranissa01@gmail.com</t>
  </si>
  <si>
    <t>081617555784</t>
  </si>
  <si>
    <t>Universitas Pamulang</t>
  </si>
  <si>
    <t>Khoirul Faizin</t>
  </si>
  <si>
    <t>faizinkhoirul21@gmail.com</t>
  </si>
  <si>
    <t>089675669690</t>
  </si>
  <si>
    <t>Salatiga</t>
  </si>
  <si>
    <t>Khoirunnisa</t>
  </si>
  <si>
    <t>khoirunjavinda@gmail.com</t>
  </si>
  <si>
    <t>087863483496</t>
  </si>
  <si>
    <t>Solo</t>
  </si>
  <si>
    <t xml:space="preserve">Business Intelligence, Bimbel </t>
  </si>
  <si>
    <t xml:space="preserve">Khoirunnisa </t>
  </si>
  <si>
    <t>nisairun670@gmail.com</t>
  </si>
  <si>
    <t>081334198736</t>
  </si>
  <si>
    <t xml:space="preserve">Freelancer </t>
  </si>
  <si>
    <t>Khoirunnisa Septiarani</t>
  </si>
  <si>
    <t>khoirunnisaspt25@gmail.com</t>
  </si>
  <si>
    <t>081770433325</t>
  </si>
  <si>
    <t>CS &amp; Operations Lead, The Feast Indonesia</t>
  </si>
  <si>
    <t>Kiki kurnia sari</t>
  </si>
  <si>
    <t>kikikurniasari18@gmail.com</t>
  </si>
  <si>
    <t>08561751046</t>
  </si>
  <si>
    <t>Import staff</t>
  </si>
  <si>
    <t>SQL, Power BI, Looker Studio, Databases, Tableau</t>
  </si>
  <si>
    <t>Kusuma Pratiwi</t>
  </si>
  <si>
    <t>kusumaprtw@gmail.com</t>
  </si>
  <si>
    <t>081336096029</t>
  </si>
  <si>
    <t>FMCG</t>
  </si>
  <si>
    <t>SQL, Python, Power BI</t>
  </si>
  <si>
    <t>Laela Indah Rahmah</t>
  </si>
  <si>
    <t>laelaindah009@gmail.com</t>
  </si>
  <si>
    <t>082113090235</t>
  </si>
  <si>
    <t>UIN Syarif Hidayatullah Jakarta</t>
  </si>
  <si>
    <t xml:space="preserve">Laela Putri Ayu Lestari </t>
  </si>
  <si>
    <t>lputriayu070@gmail.com</t>
  </si>
  <si>
    <t>085236669371</t>
  </si>
  <si>
    <t>Banyuwangi</t>
  </si>
  <si>
    <t>Staff F&amp;B service</t>
  </si>
  <si>
    <t xml:space="preserve">Lely Pratiwi </t>
  </si>
  <si>
    <t>lyprtw98@gmail.com</t>
  </si>
  <si>
    <t>082334715488</t>
  </si>
  <si>
    <t xml:space="preserve">Banyuwangi </t>
  </si>
  <si>
    <t xml:space="preserve">Politeknik Negeri Banyuwangi </t>
  </si>
  <si>
    <t>Leo</t>
  </si>
  <si>
    <t>leoonixsiahaan1996@gmail.com</t>
  </si>
  <si>
    <t>082166387502</t>
  </si>
  <si>
    <t>Sumatera Utara</t>
  </si>
  <si>
    <t>Data Analytics Specialist / Astra Credit Companies</t>
  </si>
  <si>
    <t>Luis</t>
  </si>
  <si>
    <t>luisnazareth21@gmail.com</t>
  </si>
  <si>
    <t>082128773221</t>
  </si>
  <si>
    <t>Luki Dwi Prakoso</t>
  </si>
  <si>
    <t>lukiassail12@gmail.com</t>
  </si>
  <si>
    <t>081231499396</t>
  </si>
  <si>
    <t>Finance Staff - Ragam Tangguh Fortindo</t>
  </si>
  <si>
    <t>Luqmanul Hakim</t>
  </si>
  <si>
    <t>hakim.luqman.nh@gmail.com</t>
  </si>
  <si>
    <t>085352647575</t>
  </si>
  <si>
    <t>IT Designer Intern</t>
  </si>
  <si>
    <t>SQL, Python, Looker Studio, Databases, Tableau</t>
  </si>
  <si>
    <t>Lutfia Aziza</t>
  </si>
  <si>
    <t>nanolutfia1@gmail.com</t>
  </si>
  <si>
    <t>082314973750</t>
  </si>
  <si>
    <t>Risk Analyst</t>
  </si>
  <si>
    <t>Lutfiani Siti Aisyah</t>
  </si>
  <si>
    <t>aisyahlutfia5@gmail.com</t>
  </si>
  <si>
    <t>081248600418</t>
  </si>
  <si>
    <t>Customer Service Spesialist, Teleperformance Indonesia</t>
  </si>
  <si>
    <t>M Fazrul Khoer</t>
  </si>
  <si>
    <t>khoerfajar@gmail.com</t>
  </si>
  <si>
    <t>085693849228</t>
  </si>
  <si>
    <t>Conten Creator</t>
  </si>
  <si>
    <t>M hafif</t>
  </si>
  <si>
    <t>muhammadhafifalbar@gmail.com</t>
  </si>
  <si>
    <t>0895809580707</t>
  </si>
  <si>
    <t>Quality Asurance</t>
  </si>
  <si>
    <t>M Husuli Fajar Amin</t>
  </si>
  <si>
    <t>muhammadhusulicareer@gmail.com</t>
  </si>
  <si>
    <t>085156717868</t>
  </si>
  <si>
    <t>Ruangguru</t>
  </si>
  <si>
    <t>M Yahya Firza Afitian</t>
  </si>
  <si>
    <t>fafitian@gmail.com</t>
  </si>
  <si>
    <t>085156281876</t>
  </si>
  <si>
    <t>Laboratory Specialists (PT Long Rich Indonesia)</t>
  </si>
  <si>
    <t xml:space="preserve">M. Fathi Abdillah Rakafali </t>
  </si>
  <si>
    <t>fathifalih017@gmail.com</t>
  </si>
  <si>
    <t>085836694588</t>
  </si>
  <si>
    <t>Sumatra Selatan</t>
  </si>
  <si>
    <t>M. Ikhwan Fauzi</t>
  </si>
  <si>
    <t>ikhwanfauzi.work@gmail.com</t>
  </si>
  <si>
    <t>085896149413</t>
  </si>
  <si>
    <t>Kota Bengkulu</t>
  </si>
  <si>
    <t>Excel, SQL, Python, Power BI, Looker Studio, Databases, Tableau, Pandas</t>
  </si>
  <si>
    <t>M. Mukhlish Maulidhy W.</t>
  </si>
  <si>
    <t>olishmuhammad@gmail.com</t>
  </si>
  <si>
    <t>087821926028</t>
  </si>
  <si>
    <t>Lombok</t>
  </si>
  <si>
    <t>M.Yusriani</t>
  </si>
  <si>
    <t>myusriani@gmail.com</t>
  </si>
  <si>
    <t>081348...</t>
  </si>
  <si>
    <t>Banjarmasin</t>
  </si>
  <si>
    <t>Excel, Power BI, Looker Studio, Databases, Tableau</t>
  </si>
  <si>
    <t>Maeru Bagas Trisoko</t>
  </si>
  <si>
    <t>maerubagas14@gmail.com</t>
  </si>
  <si>
    <t>08982818631</t>
  </si>
  <si>
    <t>Admin Produksi - Manufaktur</t>
  </si>
  <si>
    <t xml:space="preserve">Mahfuzh Arsya </t>
  </si>
  <si>
    <t>mahfuzharsya90@gmail.com</t>
  </si>
  <si>
    <t>089505509013</t>
  </si>
  <si>
    <t>Oktaven wordpress dev</t>
  </si>
  <si>
    <t>Maila Nurul Izzati</t>
  </si>
  <si>
    <t>mailanurulizzati25@gmail.com</t>
  </si>
  <si>
    <t>08988507153</t>
  </si>
  <si>
    <t xml:space="preserve">Guru </t>
  </si>
  <si>
    <t>Marcelle</t>
  </si>
  <si>
    <t>doankmarcelle@gmail.com</t>
  </si>
  <si>
    <t>081997030300</t>
  </si>
  <si>
    <t>Jakarta Pusat</t>
  </si>
  <si>
    <t>HR Analyst</t>
  </si>
  <si>
    <t>Mario</t>
  </si>
  <si>
    <t>caesarmario87@gmail.com</t>
  </si>
  <si>
    <t>+6281283518545</t>
  </si>
  <si>
    <t xml:space="preserve">Marlinda Damayanti </t>
  </si>
  <si>
    <t>marlindadamayanti2003@gmail.com</t>
  </si>
  <si>
    <t>082152287664</t>
  </si>
  <si>
    <t>Samarinda</t>
  </si>
  <si>
    <t>Martha Erlita</t>
  </si>
  <si>
    <t>marthaerls11@gmail.com</t>
  </si>
  <si>
    <t>08811108604</t>
  </si>
  <si>
    <t>Mahasiswi, Universitas Terbuka</t>
  </si>
  <si>
    <t>Mathius Sampe Lolo</t>
  </si>
  <si>
    <t>mathiussampelolo@gmail.com</t>
  </si>
  <si>
    <t>095246350678</t>
  </si>
  <si>
    <t>Technisi</t>
  </si>
  <si>
    <t>maulana afham</t>
  </si>
  <si>
    <t>maulanaaafham800@gmail.com</t>
  </si>
  <si>
    <t>082145033436</t>
  </si>
  <si>
    <t xml:space="preserve">data analis, Pt MIP semarang </t>
  </si>
  <si>
    <t>Maulana Firman Nurdiansyah</t>
  </si>
  <si>
    <t>m.firman.n000@gmail.com</t>
  </si>
  <si>
    <t>089509879668</t>
  </si>
  <si>
    <t>Markering Analyst Volunteer</t>
  </si>
  <si>
    <t>Marketing Analyst</t>
  </si>
  <si>
    <t>Databases</t>
  </si>
  <si>
    <t>Mayang Gumelar</t>
  </si>
  <si>
    <t>gumelarmayang@gmail.com</t>
  </si>
  <si>
    <t>082133682484</t>
  </si>
  <si>
    <t>Sragen</t>
  </si>
  <si>
    <t>Universitas Sahid Surakarta</t>
  </si>
  <si>
    <t>Medina uli alba somala</t>
  </si>
  <si>
    <t>medinasomala@gmail.com</t>
  </si>
  <si>
    <t>085742194989</t>
  </si>
  <si>
    <t>Sleman</t>
  </si>
  <si>
    <t>Megi rahma dony</t>
  </si>
  <si>
    <t>Megirahmadony@gmail.com</t>
  </si>
  <si>
    <t>085296080877</t>
  </si>
  <si>
    <t>Bukittinggi</t>
  </si>
  <si>
    <t>Radio network optimization engineer</t>
  </si>
  <si>
    <t>Python, Knime</t>
  </si>
  <si>
    <t>Melinda Rizmata Putri</t>
  </si>
  <si>
    <t>melindarizmata04@gmail.com</t>
  </si>
  <si>
    <t>0895336966802</t>
  </si>
  <si>
    <t>Melvia Eriva Ikhsan</t>
  </si>
  <si>
    <t>melviaerivaikhsan@gmail.com</t>
  </si>
  <si>
    <t>082292495743</t>
  </si>
  <si>
    <t>Michael Alviano Sirait</t>
  </si>
  <si>
    <t>alvinmichaelsirait42@gmail.com</t>
  </si>
  <si>
    <t>081396562020</t>
  </si>
  <si>
    <t>Michael Timotius Oei</t>
  </si>
  <si>
    <t>michaeltimotiusoei@gmail.com</t>
  </si>
  <si>
    <t>081383357554</t>
  </si>
  <si>
    <t>Admin</t>
  </si>
  <si>
    <t xml:space="preserve">Miftahul Syawalsyah </t>
  </si>
  <si>
    <t>miftahulsyawalsyah123@gmail.com</t>
  </si>
  <si>
    <t>085262805371</t>
  </si>
  <si>
    <t xml:space="preserve">Aceh Utara </t>
  </si>
  <si>
    <t>Moch. Irwan Sofyan</t>
  </si>
  <si>
    <t>moch.irwansofyan@outlook.com</t>
  </si>
  <si>
    <t>085248764714</t>
  </si>
  <si>
    <t>PT Indexim</t>
  </si>
  <si>
    <t>Python</t>
  </si>
  <si>
    <t xml:space="preserve">Mochammad Wahyu Ramadhan </t>
  </si>
  <si>
    <t>wahyuramadhan9090@gmail.com</t>
  </si>
  <si>
    <t>087763127708</t>
  </si>
  <si>
    <t>Moh Syaiful Choir</t>
  </si>
  <si>
    <t>Mohsyaifulchoir28@gmail.com</t>
  </si>
  <si>
    <t>081234829747</t>
  </si>
  <si>
    <t>Pt unggul dinamika utama</t>
  </si>
  <si>
    <t>Moh. Harwin Prayoga</t>
  </si>
  <si>
    <t>mpythree11@gmail.com</t>
  </si>
  <si>
    <t>082244752481</t>
  </si>
  <si>
    <t>ALVA - Data Analyst</t>
  </si>
  <si>
    <t>Sales Data Analyst - ALVA</t>
  </si>
  <si>
    <t>Monika Hermiani Yolanda Simamora</t>
  </si>
  <si>
    <t>monikasimamora8@gmail.com</t>
  </si>
  <si>
    <t>088271254635</t>
  </si>
  <si>
    <t>0882 7125 4635</t>
  </si>
  <si>
    <t>Python, Power BI, Databases, Tableau</t>
  </si>
  <si>
    <t>Muchamad Septian Faozi</t>
  </si>
  <si>
    <t>septianfaozii3@gmail.com</t>
  </si>
  <si>
    <t>‪0882003241197‬</t>
  </si>
  <si>
    <t>Tegal</t>
  </si>
  <si>
    <t>Lagi Mencari :)</t>
  </si>
  <si>
    <t>Muchammad Malik</t>
  </si>
  <si>
    <t>muchammad.malik@gmail.com</t>
  </si>
  <si>
    <t>081280407242</t>
  </si>
  <si>
    <t>Belum ada, masih jobseeker</t>
  </si>
  <si>
    <t>Mufidatul Ngazizah</t>
  </si>
  <si>
    <t>mufidatul.ngazizah@gmail.com</t>
  </si>
  <si>
    <t>083838202066</t>
  </si>
  <si>
    <t>Bantul</t>
  </si>
  <si>
    <t>Staff Data</t>
  </si>
  <si>
    <t>Excel, SQL, Python, Power BI, Looker Studio, Databases, Tableau, Tools Data Engineer</t>
  </si>
  <si>
    <t>Muh Resky Adiansyah</t>
  </si>
  <si>
    <t>muhreskyadi@gmail.com</t>
  </si>
  <si>
    <t>082192206644</t>
  </si>
  <si>
    <t>Digital Marketing - Universitas Ciputra Makassar</t>
  </si>
  <si>
    <t xml:space="preserve">Muh Syaefurrokhman </t>
  </si>
  <si>
    <t>saifurjurangkudus@gmail.com</t>
  </si>
  <si>
    <t>087744697799</t>
  </si>
  <si>
    <t xml:space="preserve">Mahasiswa Universitas Diponegoro </t>
  </si>
  <si>
    <t>Muh. Asif Awaludin</t>
  </si>
  <si>
    <t>muhasifawaludin@gmail.com</t>
  </si>
  <si>
    <t>087872658284</t>
  </si>
  <si>
    <t>Mahasiswa UPNVJ</t>
  </si>
  <si>
    <t>Muhamad afif fuadi</t>
  </si>
  <si>
    <t>afiffuadii31@gmail.com</t>
  </si>
  <si>
    <t>085819439108</t>
  </si>
  <si>
    <t>Valuation</t>
  </si>
  <si>
    <t>Excel, Yg relevan untuk project</t>
  </si>
  <si>
    <t>Muhamad Fahmi Amiq</t>
  </si>
  <si>
    <t>muhamadfahmi1642@gmail.com</t>
  </si>
  <si>
    <t>087740119943</t>
  </si>
  <si>
    <t>Magang &amp; BSI</t>
  </si>
  <si>
    <t xml:space="preserve">Muhamad Kaisar Hudayef </t>
  </si>
  <si>
    <t>kaisarhudayef1@gmail.com</t>
  </si>
  <si>
    <t>088212343331</t>
  </si>
  <si>
    <t xml:space="preserve">Muhamad Nuryasin Alkhafid </t>
  </si>
  <si>
    <t>muhammadnuryasinalkhafid@gmail.com</t>
  </si>
  <si>
    <t>085741538970</t>
  </si>
  <si>
    <t>Purbalingga</t>
  </si>
  <si>
    <t>Unemployeed</t>
  </si>
  <si>
    <t xml:space="preserve">MUHAMAD RIZA BUDI PRATAMA </t>
  </si>
  <si>
    <t>mrizabudipratama@gmail.com</t>
  </si>
  <si>
    <t>085731105650</t>
  </si>
  <si>
    <t xml:space="preserve">Universitas Harkat Negeri </t>
  </si>
  <si>
    <t>Muhamad Yusup Supyandi Nur Osria</t>
  </si>
  <si>
    <t>muhamadyusup2121@gmail.com</t>
  </si>
  <si>
    <t>085280297636</t>
  </si>
  <si>
    <t>Muhammad Adisurya Pratama</t>
  </si>
  <si>
    <t>muhammad.adisuryapr@outlook.com</t>
  </si>
  <si>
    <t>081324295865</t>
  </si>
  <si>
    <t>Konsultan Junior - Kementerian PPN/Bappenas Indonesia</t>
  </si>
  <si>
    <t>Excel, SQL, Python, Power BI, Databases, Tableau, Azure, AWS, Fabric</t>
  </si>
  <si>
    <t>Muhammad Adzka</t>
  </si>
  <si>
    <t>muhammad.adzka.work@gmail.com</t>
  </si>
  <si>
    <t>085385210828</t>
  </si>
  <si>
    <t xml:space="preserve">Muhammad Alfiannor </t>
  </si>
  <si>
    <t>rijaldimuhammad88@gmail.com</t>
  </si>
  <si>
    <t>08875727447</t>
  </si>
  <si>
    <t xml:space="preserve">Kalimantan Selatan </t>
  </si>
  <si>
    <t xml:space="preserve">Muhammad Alpim </t>
  </si>
  <si>
    <t>alpimar79@gmail.com</t>
  </si>
  <si>
    <t>083174450661</t>
  </si>
  <si>
    <t>Data Scientist</t>
  </si>
  <si>
    <t xml:space="preserve">Muhammad Aqlani Wafi </t>
  </si>
  <si>
    <t>aqlani.wafi11@gmail.com</t>
  </si>
  <si>
    <t>081217831373</t>
  </si>
  <si>
    <t>Musi Banyuasin</t>
  </si>
  <si>
    <t xml:space="preserve">UIN Syarif Hidayatullah Jakarta </t>
  </si>
  <si>
    <t>Muhammad Arief</t>
  </si>
  <si>
    <t>muhammadarief5303@gmail.com</t>
  </si>
  <si>
    <t>082348806599</t>
  </si>
  <si>
    <t>Telkomunikasi</t>
  </si>
  <si>
    <t>SQL, Power BI, Databases, Tableau</t>
  </si>
  <si>
    <t>Muhammad Aulia Zikra</t>
  </si>
  <si>
    <t>auliazikra00@gmail.com</t>
  </si>
  <si>
    <t>089506279606</t>
  </si>
  <si>
    <t>ITS</t>
  </si>
  <si>
    <t>Muhammad David</t>
  </si>
  <si>
    <t>davieddmuh@gmail.com</t>
  </si>
  <si>
    <t>085283269712</t>
  </si>
  <si>
    <t>Muhammad Fadhillah</t>
  </si>
  <si>
    <t>muh.fadhillah60@gmail.com</t>
  </si>
  <si>
    <t>085710630086</t>
  </si>
  <si>
    <t>Project Management</t>
  </si>
  <si>
    <t>Muhammad Fahmi Idris</t>
  </si>
  <si>
    <t>fahmik601@gmail.com</t>
  </si>
  <si>
    <t>089509050404</t>
  </si>
  <si>
    <t>SIdoarjo</t>
  </si>
  <si>
    <t>Muhammad Fahreza Fanani</t>
  </si>
  <si>
    <t>mfahrezafanani@gmail.com</t>
  </si>
  <si>
    <t>0895342081068</t>
  </si>
  <si>
    <t xml:space="preserve">Freshgrad </t>
  </si>
  <si>
    <t>Muhammad Fahrul</t>
  </si>
  <si>
    <t>fahrulislam103@gmail.com</t>
  </si>
  <si>
    <t>085179860213</t>
  </si>
  <si>
    <t>Quality Management System</t>
  </si>
  <si>
    <t>Muhammad Faisal</t>
  </si>
  <si>
    <t>mhmdfaisal864@gmail.com</t>
  </si>
  <si>
    <t>085385544868</t>
  </si>
  <si>
    <t>Badan Pusat Statistik RI</t>
  </si>
  <si>
    <t>Muhammad Farhan Firdaus</t>
  </si>
  <si>
    <t>m.farhan.fir@gmail.com</t>
  </si>
  <si>
    <t>085645235109</t>
  </si>
  <si>
    <t>Muhammad Farkhan</t>
  </si>
  <si>
    <t>Farkhan.mhmd@gmail.com</t>
  </si>
  <si>
    <t>085348475129</t>
  </si>
  <si>
    <t>Kalimantan Selatan</t>
  </si>
  <si>
    <t>Admin PT. Global Energitama</t>
  </si>
  <si>
    <t>Muhammad Fauzan Pratama</t>
  </si>
  <si>
    <t>fauzanpratama1975@gmail.com</t>
  </si>
  <si>
    <t>085156600744</t>
  </si>
  <si>
    <t>Growth ecommerce &amp; start up</t>
  </si>
  <si>
    <t xml:space="preserve">Muhammad Fauzi </t>
  </si>
  <si>
    <t>muhammadfauzi231100@gmail.com</t>
  </si>
  <si>
    <t>082288334096</t>
  </si>
  <si>
    <t>Resign before HR Database</t>
  </si>
  <si>
    <t xml:space="preserve">Excel, SQL, Python, Power BI, Looker Studio, Databases, Tableau, R program </t>
  </si>
  <si>
    <t>Muha</t>
  </si>
  <si>
    <t xml:space="preserve">Kota Bekasi </t>
  </si>
  <si>
    <t>Free</t>
  </si>
  <si>
    <t>Muhammad Fiqih hidayat</t>
  </si>
  <si>
    <t>mhmmdfqhhidayat@gmail.com</t>
  </si>
  <si>
    <t>089602816543</t>
  </si>
  <si>
    <t>Banten</t>
  </si>
  <si>
    <t>Muhammad fiqih hidayat</t>
  </si>
  <si>
    <t>089692816543</t>
  </si>
  <si>
    <t xml:space="preserve">Muhammad Ghifari El Anshari </t>
  </si>
  <si>
    <t>mghifarielanshari@gmail.com</t>
  </si>
  <si>
    <t>087874156220</t>
  </si>
  <si>
    <t>BSD</t>
  </si>
  <si>
    <t>PT BFI FINANCE TBK</t>
  </si>
  <si>
    <t>Excel, SQL, Looker Studio, Databases, Tableau</t>
  </si>
  <si>
    <t>Muhammad Goldy Wahyu Haryadi</t>
  </si>
  <si>
    <t>muhammdgoldy@gmail.com</t>
  </si>
  <si>
    <t>087713135232</t>
  </si>
  <si>
    <t>Jogja</t>
  </si>
  <si>
    <t>SQL, Databases</t>
  </si>
  <si>
    <t>Muhammad Hasim</t>
  </si>
  <si>
    <t>lunghasim@gmail.com</t>
  </si>
  <si>
    <t>08117529861</t>
  </si>
  <si>
    <t>pekanbaru</t>
  </si>
  <si>
    <t xml:space="preserve">Muhammad ibnu Subhan </t>
  </si>
  <si>
    <t>muhammadibnusubhan@gmail.com</t>
  </si>
  <si>
    <t>0895358594480</t>
  </si>
  <si>
    <t xml:space="preserve">Other </t>
  </si>
  <si>
    <t>Muhammad Ibrahim</t>
  </si>
  <si>
    <t>mibraaahim18@gmail.com</t>
  </si>
  <si>
    <t>085159339893</t>
  </si>
  <si>
    <t>Writer</t>
  </si>
  <si>
    <t>Excel, SQL, Power BI, Looker Studio, Databases</t>
  </si>
  <si>
    <t>Muhammad Khairii Sufyaan</t>
  </si>
  <si>
    <t>muhammadkhairiisufyaan@gmail.com</t>
  </si>
  <si>
    <t>088217738590</t>
  </si>
  <si>
    <t>Commercial Data Strategy &amp; Insight - Yokke</t>
  </si>
  <si>
    <t xml:space="preserve">Muhammad Mirza Maulana </t>
  </si>
  <si>
    <t>mirgizaga@gmail.com</t>
  </si>
  <si>
    <t>087880126241</t>
  </si>
  <si>
    <t>Mahasiswa/UNDIP</t>
  </si>
  <si>
    <t>Muhammad Nashir</t>
  </si>
  <si>
    <t>nashirm321@gmail.com</t>
  </si>
  <si>
    <t>081229699160</t>
  </si>
  <si>
    <t>SQL, Python, Power BI, Databases, Data Engineering</t>
  </si>
  <si>
    <t>Muhammad Nauval Rifqi Ramadhan</t>
  </si>
  <si>
    <t>rifqinaufalramadhan10@gmail.com</t>
  </si>
  <si>
    <t>085693118194</t>
  </si>
  <si>
    <t>Excel, SQL, Python, Power BI, Looker Studio, Databases, Tableau, Kafka</t>
  </si>
  <si>
    <t>Muhammad Ramdani</t>
  </si>
  <si>
    <t>cpaigiszero@gmail.com</t>
  </si>
  <si>
    <t>085213826640</t>
  </si>
  <si>
    <t>Mahasiswa Universitas Nusa Putra</t>
  </si>
  <si>
    <t>Muhammad Reza Barus</t>
  </si>
  <si>
    <t>mrezabarus87@gmail.com</t>
  </si>
  <si>
    <t>08567806333</t>
  </si>
  <si>
    <t>Organization Development Specialist</t>
  </si>
  <si>
    <t>Muhammad Reza Pahlavi</t>
  </si>
  <si>
    <t>rezam.pahlevi963@gmail.com</t>
  </si>
  <si>
    <t>089524248709</t>
  </si>
  <si>
    <t>Mahasiswa tingkat akhir</t>
  </si>
  <si>
    <t>Muhammad Rhesa Dhiyaulhaq</t>
  </si>
  <si>
    <t>muhammadrhesa20@gmail.com</t>
  </si>
  <si>
    <t>082140576318</t>
  </si>
  <si>
    <t>Kapal Api</t>
  </si>
  <si>
    <t xml:space="preserve">Muhammad Ridwan Solehudin Fadilah </t>
  </si>
  <si>
    <t>muh.ridwanfadilah@gmail.com</t>
  </si>
  <si>
    <t>085156822135</t>
  </si>
  <si>
    <t>Data Analyst - Komdigi</t>
  </si>
  <si>
    <t>Excel, SQL, Python, Power BI, Looker Studio, Databases, Tableau, Pentaho</t>
  </si>
  <si>
    <t xml:space="preserve">Muhammad Rifqi Nur Ismail </t>
  </si>
  <si>
    <t>rifqinur543@gmail.com</t>
  </si>
  <si>
    <t>081359212967</t>
  </si>
  <si>
    <t xml:space="preserve">Surakarta </t>
  </si>
  <si>
    <t>Staff Toko</t>
  </si>
  <si>
    <t xml:space="preserve">Muhammad Rizky Firdaus </t>
  </si>
  <si>
    <t>rizkyfirdaus916@gmail.com</t>
  </si>
  <si>
    <t>089692081605</t>
  </si>
  <si>
    <t>Muhammad Rizky Indrawan</t>
  </si>
  <si>
    <t>mochrizkyindrawan99@gmail.com</t>
  </si>
  <si>
    <t>087722123163</t>
  </si>
  <si>
    <t>Freelance - Tutor Private Les</t>
  </si>
  <si>
    <t xml:space="preserve">Muhammad Thoriq Fauzan </t>
  </si>
  <si>
    <t>muhammadthoriqfauzan@mail.ugm.ac.id</t>
  </si>
  <si>
    <t>082171808903</t>
  </si>
  <si>
    <t>Muhammad Yovie Ridwan</t>
  </si>
  <si>
    <t>yovieridwan17@gmail.com</t>
  </si>
  <si>
    <t>083841316637</t>
  </si>
  <si>
    <t>UNIVERSITAS TERBUKA</t>
  </si>
  <si>
    <t>Muhammad Yusuf Royhan</t>
  </si>
  <si>
    <t>myroyhan24@gmail.com</t>
  </si>
  <si>
    <t>081263260025</t>
  </si>
  <si>
    <t>PT. Sinergi Adhi Pratama Abadi</t>
  </si>
  <si>
    <t>Excel, SQL, Python, Power BI, Looker Studio, Databases, Tableau, Data Science, Bigquery</t>
  </si>
  <si>
    <t>Muhammad Zaky Muqoddas</t>
  </si>
  <si>
    <t>muhammadzaky.works@gmail.com</t>
  </si>
  <si>
    <t>081325177052</t>
  </si>
  <si>
    <t>Switching to Data Analyst</t>
  </si>
  <si>
    <t>Muhammad Zaky Taj Aldien</t>
  </si>
  <si>
    <t>mzakytajaldien@gmail.com</t>
  </si>
  <si>
    <t>081214884005</t>
  </si>
  <si>
    <t>Muzakki</t>
  </si>
  <si>
    <t>muzakki.abdillah123@gmail.com</t>
  </si>
  <si>
    <t>085183236010</t>
  </si>
  <si>
    <t>Nabila Aprilia Firdaus</t>
  </si>
  <si>
    <t>nabilapriliafirdaus@gmail.com</t>
  </si>
  <si>
    <t>081915514621</t>
  </si>
  <si>
    <t>Excel, SQL, Python, Power BI, Looker Studio, Databases, Tableau, Python</t>
  </si>
  <si>
    <t>Nabila Azizah</t>
  </si>
  <si>
    <t>anandanabila1902@gmail.com</t>
  </si>
  <si>
    <t>085156961639</t>
  </si>
  <si>
    <t>DI Yogyakarta</t>
  </si>
  <si>
    <t>Nabila Dwi Fazira</t>
  </si>
  <si>
    <t>nabiladwifazira@gmail.com</t>
  </si>
  <si>
    <t>082285935808</t>
  </si>
  <si>
    <t>pt gawe becik nadhah anugrah</t>
  </si>
  <si>
    <t>Power BI, Databases</t>
  </si>
  <si>
    <t>Nabila Febriyanti Valentin</t>
  </si>
  <si>
    <t>vanabila634@gmail.com</t>
  </si>
  <si>
    <t>085725119398</t>
  </si>
  <si>
    <t>Cilacap</t>
  </si>
  <si>
    <t>Nabila Putri Asy Syifa</t>
  </si>
  <si>
    <t xml:space="preserve">2210631170036@student.unsika.ac.id </t>
  </si>
  <si>
    <t>085711942921</t>
  </si>
  <si>
    <t>Universitas Singaperbangsa Karawang</t>
  </si>
  <si>
    <t>Nabila Sholeha Anak Purinda</t>
  </si>
  <si>
    <t>nabilakerja.1212@gmail.com</t>
  </si>
  <si>
    <t>089691416196</t>
  </si>
  <si>
    <t>salsafal, gang menukan II no.971, brontokusuman,mergangsan, yogyakarta</t>
  </si>
  <si>
    <t>karyawan swasta --&gt; PT. Gawe Becik Nadhah Anugrah</t>
  </si>
  <si>
    <t>SQL, Python, Looker Studio, Databases</t>
  </si>
  <si>
    <t>Nada Nafisah</t>
  </si>
  <si>
    <t>nadanafisah26@gmail.com</t>
  </si>
  <si>
    <t>081319020621</t>
  </si>
  <si>
    <t>Mahasiswa &amp; IPB University</t>
  </si>
  <si>
    <t xml:space="preserve">Nadabunda Husnul Khotimah </t>
  </si>
  <si>
    <t>nadabundan@gmail.com</t>
  </si>
  <si>
    <t>0895336810295</t>
  </si>
  <si>
    <t>Data admin</t>
  </si>
  <si>
    <t>Excel, SQL, Python, Looker Studio, Databases, Tableau</t>
  </si>
  <si>
    <t>Nadhira Melania</t>
  </si>
  <si>
    <t>npmelania@gmail.com</t>
  </si>
  <si>
    <t>085159255613</t>
  </si>
  <si>
    <t xml:space="preserve">Semua yg di atas </t>
  </si>
  <si>
    <t>Nadia Adyutarahma Putri</t>
  </si>
  <si>
    <t>nadiaputri2737@gmail.com</t>
  </si>
  <si>
    <t>085600462664</t>
  </si>
  <si>
    <t>SQL, Python, Power BI, Databases, Tableau, BigQuery, dbt, Airflow</t>
  </si>
  <si>
    <t>Nadia Chusnul Ikromah</t>
  </si>
  <si>
    <t>chs.nadia@gmail.com</t>
  </si>
  <si>
    <t>0895622327241</t>
  </si>
  <si>
    <t>Naira</t>
  </si>
  <si>
    <t>nfazilatun28@gmail.com</t>
  </si>
  <si>
    <t>087788263368</t>
  </si>
  <si>
    <t>Mahasiswa - UPNVJ</t>
  </si>
  <si>
    <t>Najma Aufi Zayyana</t>
  </si>
  <si>
    <t>najmaaufi@gmail.com</t>
  </si>
  <si>
    <t>0895422489760</t>
  </si>
  <si>
    <t>Konsultan Lingkungan/Instansi Swasta</t>
  </si>
  <si>
    <t>Najwa Ratna</t>
  </si>
  <si>
    <t>greendbrace@gmail.com</t>
  </si>
  <si>
    <t>087784554515</t>
  </si>
  <si>
    <t>UPN “ Veteran” Jawa Timur</t>
  </si>
  <si>
    <t>Nanda Oktaviana</t>
  </si>
  <si>
    <t>nandaoktaviana775@gmail.com</t>
  </si>
  <si>
    <t>081356562200</t>
  </si>
  <si>
    <t>Nasruddin</t>
  </si>
  <si>
    <t>nasruddin4x4@gmail.com</t>
  </si>
  <si>
    <t>082254911440</t>
  </si>
  <si>
    <t>SQL, Tableau</t>
  </si>
  <si>
    <t>Naswa Nabila</t>
  </si>
  <si>
    <t>naswanabila222@gmail.com</t>
  </si>
  <si>
    <t>081361535685</t>
  </si>
  <si>
    <t>Nasywa Zahra Indrasari</t>
  </si>
  <si>
    <t>nasywazahrai.nzi@gmail.com</t>
  </si>
  <si>
    <t>082299222156</t>
  </si>
  <si>
    <t>Badan Pusat Statistik (BPS)</t>
  </si>
  <si>
    <t>Nasywaa Rihaadatul 'Aisy</t>
  </si>
  <si>
    <t>nasywaaaisy0@gmail.com</t>
  </si>
  <si>
    <t>082136894156</t>
  </si>
  <si>
    <t>Follow Up Marketing / CV Ranotex</t>
  </si>
  <si>
    <t>Natania Putri</t>
  </si>
  <si>
    <t>ntniaptr@gmail.com</t>
  </si>
  <si>
    <t>087780592185</t>
  </si>
  <si>
    <t>Freelance tutor</t>
  </si>
  <si>
    <t xml:space="preserve">Naufal Rabbani Sumitra </t>
  </si>
  <si>
    <t>naufalsumitra87@gmail.com</t>
  </si>
  <si>
    <t>081398945500</t>
  </si>
  <si>
    <t xml:space="preserve">Bekasi </t>
  </si>
  <si>
    <t xml:space="preserve">Nayla Aisyah Yudha Sena </t>
  </si>
  <si>
    <t>naminaptitude@gmail.com</t>
  </si>
  <si>
    <t>087886513030</t>
  </si>
  <si>
    <t xml:space="preserve">Telkom University </t>
  </si>
  <si>
    <t>Excel, SQL, Python, Power BI, Looker Studio, Databases, Tableau, Aiven</t>
  </si>
  <si>
    <t xml:space="preserve">Neli Hoirul Amalia </t>
  </si>
  <si>
    <t>neliamalia215@gmail.com</t>
  </si>
  <si>
    <t>082140998539</t>
  </si>
  <si>
    <t>Administrasi Klinik Umum</t>
  </si>
  <si>
    <t>Nia abania</t>
  </si>
  <si>
    <t>Niabania02@gmail.com</t>
  </si>
  <si>
    <t>089656568562</t>
  </si>
  <si>
    <t>Garut</t>
  </si>
  <si>
    <t>Unit layanan BPJS ketenagakerjaan garut</t>
  </si>
  <si>
    <t>Nicholas</t>
  </si>
  <si>
    <t>Nicholasdave1997@gmail.com</t>
  </si>
  <si>
    <t>081314696082</t>
  </si>
  <si>
    <t>Business data analyst</t>
  </si>
  <si>
    <t>Nifelling Rismelia Sandewa</t>
  </si>
  <si>
    <t>linglingsandewa@gmail.com</t>
  </si>
  <si>
    <t>082236326082</t>
  </si>
  <si>
    <t>Purwokerto</t>
  </si>
  <si>
    <t>Nimas Ayu C.D</t>
  </si>
  <si>
    <t>nimasayu1526@gmail.com</t>
  </si>
  <si>
    <t>089678228489</t>
  </si>
  <si>
    <t>Ninik Kardinah Lestari</t>
  </si>
  <si>
    <t>ninikklestari@gmail.com</t>
  </si>
  <si>
    <t>082319236360</t>
  </si>
  <si>
    <t xml:space="preserve">Nisrina Zakia </t>
  </si>
  <si>
    <t>nisrinaofficiall0@gmail.com</t>
  </si>
  <si>
    <t>085739676260</t>
  </si>
  <si>
    <t xml:space="preserve">Malang </t>
  </si>
  <si>
    <t xml:space="preserve">Universitas Negeri Malang </t>
  </si>
  <si>
    <t xml:space="preserve">Nita Hermawati </t>
  </si>
  <si>
    <t>niwamawati@gmail.com</t>
  </si>
  <si>
    <t>089602817633</t>
  </si>
  <si>
    <t>Nora Ramadhani Al Husnah</t>
  </si>
  <si>
    <t>nora.ramadhani1@gmail.com</t>
  </si>
  <si>
    <t>085853729937</t>
  </si>
  <si>
    <t>Jombang</t>
  </si>
  <si>
    <t>Nova</t>
  </si>
  <si>
    <t>nova452003@gmail.com</t>
  </si>
  <si>
    <t>085816843277</t>
  </si>
  <si>
    <t xml:space="preserve">Jawa Timur </t>
  </si>
  <si>
    <t>Novanda Rizky Ramadhana</t>
  </si>
  <si>
    <t>novandaazzz@gmail.com</t>
  </si>
  <si>
    <t>081549115204</t>
  </si>
  <si>
    <t xml:space="preserve">Noviana Safitri </t>
  </si>
  <si>
    <t>noviavia1920@gmail.com</t>
  </si>
  <si>
    <t>083176593757</t>
  </si>
  <si>
    <t xml:space="preserve">Universitas Terbuka </t>
  </si>
  <si>
    <t>Nugroho Ardiyanto</t>
  </si>
  <si>
    <t>nugrohoardiyanto@student.uns.ac.id</t>
  </si>
  <si>
    <t>085773635021</t>
  </si>
  <si>
    <t>Nur Chamidah</t>
  </si>
  <si>
    <t>Nur.midah13.nc@gmail.com</t>
  </si>
  <si>
    <t>081326228925</t>
  </si>
  <si>
    <t>Magelang</t>
  </si>
  <si>
    <t>Foreman MCC at PT BPN</t>
  </si>
  <si>
    <t>Nur Fiddaroini</t>
  </si>
  <si>
    <t>nurfiddaroini@gmail.com</t>
  </si>
  <si>
    <t>085336858515</t>
  </si>
  <si>
    <t>Guru Les</t>
  </si>
  <si>
    <t>Nur Indah Sari Rini Palupi</t>
  </si>
  <si>
    <t>nurindahsari.rp18@gmail.com</t>
  </si>
  <si>
    <t>085820397801</t>
  </si>
  <si>
    <t>Nur Setiawati</t>
  </si>
  <si>
    <t>nursetiawati6@gmail.com</t>
  </si>
  <si>
    <t>081280844160</t>
  </si>
  <si>
    <t>Rangkasbitung</t>
  </si>
  <si>
    <t>Nur Widya Astutik</t>
  </si>
  <si>
    <t>widyanur280@gmail.com</t>
  </si>
  <si>
    <t>082257181018</t>
  </si>
  <si>
    <t>Staf Notaris Maria Margareta Tutut H, SH., MKn</t>
  </si>
  <si>
    <t>Nur windasari</t>
  </si>
  <si>
    <t>windasark@gmail.com</t>
  </si>
  <si>
    <t>085702606881</t>
  </si>
  <si>
    <t>Jakarta timur</t>
  </si>
  <si>
    <t>UPN veteran yogyakarta</t>
  </si>
  <si>
    <t>Nurfadilah</t>
  </si>
  <si>
    <t>nurfadilahh96@gmail.com</t>
  </si>
  <si>
    <t>087874640604</t>
  </si>
  <si>
    <t>IRT ( Ex Customer Service)</t>
  </si>
  <si>
    <t>Nurliana</t>
  </si>
  <si>
    <t>Liana.nur1473@gmail.com</t>
  </si>
  <si>
    <t>085839178112</t>
  </si>
  <si>
    <t>PT Victoria Care Indonesia Tbk</t>
  </si>
  <si>
    <t xml:space="preserve">DKI Jakarta </t>
  </si>
  <si>
    <t>Nurul Aini</t>
  </si>
  <si>
    <t>ainez.inaa@gmail.com</t>
  </si>
  <si>
    <t>085837943478</t>
  </si>
  <si>
    <t>Nurul Ainil Fitri</t>
  </si>
  <si>
    <t>nurulainilf@gmail.com</t>
  </si>
  <si>
    <t>081286317655</t>
  </si>
  <si>
    <t>UPN Veteran Jakarta</t>
  </si>
  <si>
    <t>Nurul Fadilah Syahrul</t>
  </si>
  <si>
    <t>nurulfadilahsyahrul@gmail.com</t>
  </si>
  <si>
    <t>081977300777</t>
  </si>
  <si>
    <t>Data Analyst - Erajaya</t>
  </si>
  <si>
    <t>SQL, Python, Power BI, Looker Studio, Ingin belajar automasi update data</t>
  </si>
  <si>
    <t>Nurul Hidayah</t>
  </si>
  <si>
    <t>nurulhdy2994@gmail.com</t>
  </si>
  <si>
    <t>088294512101</t>
  </si>
  <si>
    <t>Diesel one group</t>
  </si>
  <si>
    <t>nurul.dieselone@gmail.com</t>
  </si>
  <si>
    <t>085161622910</t>
  </si>
  <si>
    <t>DEPOK</t>
  </si>
  <si>
    <t>Nurul Qamariyah</t>
  </si>
  <si>
    <t>websayanurul@gmail.com</t>
  </si>
  <si>
    <t>085292272577</t>
  </si>
  <si>
    <t>Nurul Ulimaz Alif</t>
  </si>
  <si>
    <t>nurul.ulimaza@gmail.com</t>
  </si>
  <si>
    <t>082322587336</t>
  </si>
  <si>
    <t>Finance Analyst, PT Firla Tata Investama</t>
  </si>
  <si>
    <t>Owen</t>
  </si>
  <si>
    <t>owenjerh@gmail.com</t>
  </si>
  <si>
    <t>081362465631</t>
  </si>
  <si>
    <t>Sales Advisor</t>
  </si>
  <si>
    <t xml:space="preserve">Panca Fadhliansyah </t>
  </si>
  <si>
    <t>pncafadli@gmail.com</t>
  </si>
  <si>
    <t>08988070802</t>
  </si>
  <si>
    <t xml:space="preserve">Inline Control Process </t>
  </si>
  <si>
    <t>Pandegar bila auda</t>
  </si>
  <si>
    <t>pandegarauda1@gmail.com</t>
  </si>
  <si>
    <t>082112304475</t>
  </si>
  <si>
    <t>Sedang mencari pekerjaan</t>
  </si>
  <si>
    <t>Patonangi. M</t>
  </si>
  <si>
    <t>patonangi.123m@gmail.com</t>
  </si>
  <si>
    <t>085299123558</t>
  </si>
  <si>
    <t>Sulawesi Selatan</t>
  </si>
  <si>
    <t>MAHASISWA</t>
  </si>
  <si>
    <t>Pedro Renhard Silaen</t>
  </si>
  <si>
    <t>pedrosilaen1212@gmail.com</t>
  </si>
  <si>
    <t>083121102107</t>
  </si>
  <si>
    <t>Mahasiswa USU</t>
  </si>
  <si>
    <t>Puji Akhiari</t>
  </si>
  <si>
    <t>pujiakhiari@gmail.com</t>
  </si>
  <si>
    <t>082387679081</t>
  </si>
  <si>
    <t>Administrasi Pengelolaan Data dan Mutu, Politeknik Caltex Riau</t>
  </si>
  <si>
    <t>Excel, Power BI</t>
  </si>
  <si>
    <t>Putri Aprilia</t>
  </si>
  <si>
    <t>putriaprilia260404@gmail.com</t>
  </si>
  <si>
    <t>083177376993</t>
  </si>
  <si>
    <t>looking for work</t>
  </si>
  <si>
    <t>Putri dwi suriani</t>
  </si>
  <si>
    <t>ptridws27@gmail.com</t>
  </si>
  <si>
    <t>081331864565</t>
  </si>
  <si>
    <t>Rachminanda Cinta A</t>
  </si>
  <si>
    <t>rachminanda19@gmail.com</t>
  </si>
  <si>
    <t>082112178839</t>
  </si>
  <si>
    <t>Excel, SQL, Python, Power BI, Looker Studio, Databases, Tableau, R</t>
  </si>
  <si>
    <t>Rafael Bermuda Leemardo</t>
  </si>
  <si>
    <t>billyleemardo43@gmail.com</t>
  </si>
  <si>
    <t>082256480510</t>
  </si>
  <si>
    <t>Kalimantan Barat</t>
  </si>
  <si>
    <t>Excel, Looker Studio</t>
  </si>
  <si>
    <t>Rahma Aulia Putri</t>
  </si>
  <si>
    <t>rahmauliap34@gmail.com</t>
  </si>
  <si>
    <t>082120073035</t>
  </si>
  <si>
    <t xml:space="preserve">Rahmad Putra Gautama </t>
  </si>
  <si>
    <t>rahmadgautama15@gmail.com</t>
  </si>
  <si>
    <t>085161136054</t>
  </si>
  <si>
    <t xml:space="preserve">Semarang </t>
  </si>
  <si>
    <t>Rahmat Halif</t>
  </si>
  <si>
    <t>rahmathalif200@gmail.com</t>
  </si>
  <si>
    <t>085364286537</t>
  </si>
  <si>
    <t>Data Analyst BRI</t>
  </si>
  <si>
    <t xml:space="preserve">Raihan Anugrah </t>
  </si>
  <si>
    <t>raihanugrah92@gmail.com</t>
  </si>
  <si>
    <t>085823723085</t>
  </si>
  <si>
    <t xml:space="preserve">Sulawesi Tengah </t>
  </si>
  <si>
    <t>Excel, Python, Looker Studio, Databases</t>
  </si>
  <si>
    <t xml:space="preserve">Raihanah Nursyela </t>
  </si>
  <si>
    <t>raihanahnursyela08@gmail.com</t>
  </si>
  <si>
    <t>081914104178</t>
  </si>
  <si>
    <t>Jawa Barat</t>
  </si>
  <si>
    <t xml:space="preserve">Universitas Pendidikan Indonesia </t>
  </si>
  <si>
    <t xml:space="preserve">Raisya Fahira Anastasya </t>
  </si>
  <si>
    <t>raisyafahira05@gmail.com</t>
  </si>
  <si>
    <t>0895337118654</t>
  </si>
  <si>
    <t xml:space="preserve">Ciamis Jawa Barat </t>
  </si>
  <si>
    <t>Excel, SQL, Looker Studio, Tableau</t>
  </si>
  <si>
    <t>Raja Chairul Jannah Wydmann</t>
  </si>
  <si>
    <t>chairulraja4@gmail.com</t>
  </si>
  <si>
    <t>085121171214</t>
  </si>
  <si>
    <t>Maintenance Planner di Madhani Talatah Nusantara</t>
  </si>
  <si>
    <t>Raka Dania Putra</t>
  </si>
  <si>
    <t>rakadaniaputra@gmail.com</t>
  </si>
  <si>
    <t>087876886966</t>
  </si>
  <si>
    <t>Mahasiswa, UIN Syarif Hidayatullah Jakarta</t>
  </si>
  <si>
    <t>Rama Yogaswara</t>
  </si>
  <si>
    <t>Ramayogaz@gmail.com</t>
  </si>
  <si>
    <t>085754160350</t>
  </si>
  <si>
    <t>Balikpapan, Kalimantan Timur</t>
  </si>
  <si>
    <t>System Support, RSUD dr Kanujoso Djatiwibowo</t>
  </si>
  <si>
    <t>Ramadhani</t>
  </si>
  <si>
    <t>rama00dhanii@gmail.com</t>
  </si>
  <si>
    <t>081364772682</t>
  </si>
  <si>
    <t>Rayi Lentera Surya</t>
  </si>
  <si>
    <t>surya.rayilentera@gmail.com</t>
  </si>
  <si>
    <t>081574781009</t>
  </si>
  <si>
    <t>Data Analyst - Sambal Bakar Indonesia</t>
  </si>
  <si>
    <t>Excel, SQL, Python, Power BI, Looker Studio, Databases, Tableau, Data Engineer tools, API dll</t>
  </si>
  <si>
    <t xml:space="preserve">Refi Syahda Kirana </t>
  </si>
  <si>
    <t>revisyahda@gmail.com</t>
  </si>
  <si>
    <t>082138707435</t>
  </si>
  <si>
    <t>Wonosobo</t>
  </si>
  <si>
    <t xml:space="preserve">Universitas Sains Al-Qur'an </t>
  </si>
  <si>
    <t>REFIKA FITRIA GUNAWAN</t>
  </si>
  <si>
    <t>refikafitria2719@gmail.com</t>
  </si>
  <si>
    <t>081275305819</t>
  </si>
  <si>
    <t>Pasaman Barat</t>
  </si>
  <si>
    <t>Regina Mai Anggriani Br Sitanggang</t>
  </si>
  <si>
    <t>reginamaianggriani@gmail.com</t>
  </si>
  <si>
    <t>08994688875</t>
  </si>
  <si>
    <t>Sedang mencari kerja</t>
  </si>
  <si>
    <t>081261621330</t>
  </si>
  <si>
    <t>Rendy Hikmawan Saputro</t>
  </si>
  <si>
    <t>rendyhikmawan040@gmail.com</t>
  </si>
  <si>
    <t>087881497247</t>
  </si>
  <si>
    <t>Gresik, Jawa Timur</t>
  </si>
  <si>
    <t>Revaya Rizqia Pasya</t>
  </si>
  <si>
    <t>revayarizqia@gmail.com</t>
  </si>
  <si>
    <t>087843931661</t>
  </si>
  <si>
    <t>Operation Admin, Supporting Coal and Mineral</t>
  </si>
  <si>
    <t xml:space="preserve">Reyhan Putra Bagaskara </t>
  </si>
  <si>
    <t>reyhanbaskara2510@gmail.com</t>
  </si>
  <si>
    <t>082242020610</t>
  </si>
  <si>
    <t>Purwokerto, Kabupaten Banyumas</t>
  </si>
  <si>
    <t>Reza Aryanto</t>
  </si>
  <si>
    <t>codeofeza@gmail.com</t>
  </si>
  <si>
    <t>082273310541</t>
  </si>
  <si>
    <t>QA</t>
  </si>
  <si>
    <t>Reza Eka Permana</t>
  </si>
  <si>
    <t>rezaeka640@gmail.com</t>
  </si>
  <si>
    <t>081574821229</t>
  </si>
  <si>
    <t>Cikarang</t>
  </si>
  <si>
    <t>Reza Maulana</t>
  </si>
  <si>
    <t>rezamau025@gmail.com</t>
  </si>
  <si>
    <t>082124617541</t>
  </si>
  <si>
    <t>Universitas Pendidikan Indonesia</t>
  </si>
  <si>
    <t xml:space="preserve">REZA OKTAVIANI </t>
  </si>
  <si>
    <t>oktaviani13r@gmail.com</t>
  </si>
  <si>
    <t>085313384138</t>
  </si>
  <si>
    <t xml:space="preserve">Bengkulu </t>
  </si>
  <si>
    <t xml:space="preserve">Staf Operator Tata Usaha Humas – MTsN 4 Kaur </t>
  </si>
  <si>
    <t xml:space="preserve">Ria Novita Sari </t>
  </si>
  <si>
    <t>rnovitasari212@gmail.com</t>
  </si>
  <si>
    <t>081385454643</t>
  </si>
  <si>
    <t xml:space="preserve">Universitas Bina Bangsa </t>
  </si>
  <si>
    <t>Ria Virnanda</t>
  </si>
  <si>
    <t>riavirnandav@gmail.com</t>
  </si>
  <si>
    <t>085828485125</t>
  </si>
  <si>
    <t>Databases, Excel</t>
  </si>
  <si>
    <t>Rida Agustina</t>
  </si>
  <si>
    <t>rida.agstn.bps@gmail.com</t>
  </si>
  <si>
    <t>082112367772</t>
  </si>
  <si>
    <t>jakarta</t>
  </si>
  <si>
    <t>PNS/Badan Pusat Statistik</t>
  </si>
  <si>
    <t>Ridho Ganda Rahardi</t>
  </si>
  <si>
    <t>rgrahardi2019@gmail.com</t>
  </si>
  <si>
    <t>081283033436</t>
  </si>
  <si>
    <t>Freelance IT</t>
  </si>
  <si>
    <t xml:space="preserve">Rif Ana Suryaningsih </t>
  </si>
  <si>
    <t>rifanasuryaningsih@gmail.com</t>
  </si>
  <si>
    <t>081227297216</t>
  </si>
  <si>
    <t>Pekalongan</t>
  </si>
  <si>
    <t xml:space="preserve">Admin di PT. Ratnajaya Indahutama </t>
  </si>
  <si>
    <t>Rifaldi Dwi Priana</t>
  </si>
  <si>
    <t>rifaldidwi30@gmail.com</t>
  </si>
  <si>
    <t>0895614613481</t>
  </si>
  <si>
    <t>Pencari kerja di bidang data</t>
  </si>
  <si>
    <t>Belum Bekerja/Jobseeker</t>
  </si>
  <si>
    <t xml:space="preserve">Rifki Megian </t>
  </si>
  <si>
    <t>rifkimegian08@gmail.com</t>
  </si>
  <si>
    <t>085774582230</t>
  </si>
  <si>
    <t xml:space="preserve">Jakarta Utara </t>
  </si>
  <si>
    <t xml:space="preserve">Tidak ada </t>
  </si>
  <si>
    <t xml:space="preserve">Rifqi Ariqoh Sudiantoro </t>
  </si>
  <si>
    <t>rifqiariqoh21@gmail.com</t>
  </si>
  <si>
    <t>081249900242</t>
  </si>
  <si>
    <t xml:space="preserve">Belum ada </t>
  </si>
  <si>
    <t>Rifqi Nadzori</t>
  </si>
  <si>
    <t>rifqi.nadzori@gmail.com</t>
  </si>
  <si>
    <t>085607180841</t>
  </si>
  <si>
    <t>PT Sinergia</t>
  </si>
  <si>
    <t>Networking, Switch Career</t>
  </si>
  <si>
    <t>Rijal Walaviat Munthe</t>
  </si>
  <si>
    <t>rizalmunthe12@gmail.com</t>
  </si>
  <si>
    <t>085210401894</t>
  </si>
  <si>
    <t>Asisten Agronomy &amp; PT GoodHope</t>
  </si>
  <si>
    <t>Rimanda Syafitri</t>
  </si>
  <si>
    <t>rimandasyafitri2003@gmail.com</t>
  </si>
  <si>
    <t>081382820016</t>
  </si>
  <si>
    <t>Rina Megasari</t>
  </si>
  <si>
    <t>ermegasari07@gmail.com</t>
  </si>
  <si>
    <t>082153963677</t>
  </si>
  <si>
    <t>Rinda Febtarini</t>
  </si>
  <si>
    <t>rindaunib10@gmail.com</t>
  </si>
  <si>
    <t>082183899608</t>
  </si>
  <si>
    <t xml:space="preserve">Rinda Wahyu Lestari </t>
  </si>
  <si>
    <t>rindawahyu553@gmail.com</t>
  </si>
  <si>
    <t>081998263823</t>
  </si>
  <si>
    <t>Magetan</t>
  </si>
  <si>
    <t xml:space="preserve">Fresh graduate </t>
  </si>
  <si>
    <t>Rini Irawati</t>
  </si>
  <si>
    <t>rirawati2828@gmail.com</t>
  </si>
  <si>
    <t>085179562061</t>
  </si>
  <si>
    <t>Wiraswasta</t>
  </si>
  <si>
    <t>rio wicaksono</t>
  </si>
  <si>
    <t>rwcksn2@gmail.com</t>
  </si>
  <si>
    <t>085313840037</t>
  </si>
  <si>
    <t>telco engineer</t>
  </si>
  <si>
    <t>Ririn Meidistarani</t>
  </si>
  <si>
    <t>rmedistarani@gmail.com</t>
  </si>
  <si>
    <t>08989625375</t>
  </si>
  <si>
    <t xml:space="preserve">Riris Alphanita Bukit </t>
  </si>
  <si>
    <t>ririsbkt@gmail.com</t>
  </si>
  <si>
    <t>082363879850</t>
  </si>
  <si>
    <t xml:space="preserve">Medan </t>
  </si>
  <si>
    <t>Riris Silvia Zahri</t>
  </si>
  <si>
    <t>ririssilvia1@gmail.com</t>
  </si>
  <si>
    <t>083130066682</t>
  </si>
  <si>
    <t>Golden energy mines</t>
  </si>
  <si>
    <t xml:space="preserve">Riska Fauziah </t>
  </si>
  <si>
    <t>fauziahriska031@gmail.com</t>
  </si>
  <si>
    <t>085122943507</t>
  </si>
  <si>
    <t xml:space="preserve">Tidak Bekerja </t>
  </si>
  <si>
    <t>Riska Yulianti</t>
  </si>
  <si>
    <t>yuliantiriska17@gmail.com</t>
  </si>
  <si>
    <t>087857121700</t>
  </si>
  <si>
    <t>Verifikasi Jarak Tempuh TJ</t>
  </si>
  <si>
    <t xml:space="preserve">Riski Resnawan </t>
  </si>
  <si>
    <t>riskiresnawan17@gmail.com</t>
  </si>
  <si>
    <t>081250436901</t>
  </si>
  <si>
    <t>Kalimantan Tengah</t>
  </si>
  <si>
    <t>Magang Kemnaker Batch II</t>
  </si>
  <si>
    <t>Risky Nirmala</t>
  </si>
  <si>
    <t>risky.n.dewi@gmail.com</t>
  </si>
  <si>
    <t>+62 851-1160-2500</t>
  </si>
  <si>
    <t>Blitar</t>
  </si>
  <si>
    <t xml:space="preserve">Risma Aulia </t>
  </si>
  <si>
    <t>rismaauliaa1856@gmail.com</t>
  </si>
  <si>
    <t>08385522463</t>
  </si>
  <si>
    <t xml:space="preserve">Mahasiswa, UIN Sunan Gunung Djati Bandung </t>
  </si>
  <si>
    <t>Risya Atma Nuura</t>
  </si>
  <si>
    <t>Risya.atmanuura@gmail.com</t>
  </si>
  <si>
    <t>082354633633 / 08114433633</t>
  </si>
  <si>
    <t>CCAR &amp; Compliance Management, PT. Bagas Bumi Persada</t>
  </si>
  <si>
    <t>risya.atmanuura@gmail.com</t>
  </si>
  <si>
    <t>08114433633</t>
  </si>
  <si>
    <t>Karyawan swasta, PT Bagas Bumi Persada</t>
  </si>
  <si>
    <t>Riyan Aditiya</t>
  </si>
  <si>
    <t>aditiyariyan269@gmail.com</t>
  </si>
  <si>
    <t>085776489536</t>
  </si>
  <si>
    <t xml:space="preserve">Riza Pratama </t>
  </si>
  <si>
    <t>rizapratama231006@gmail.com</t>
  </si>
  <si>
    <t>085731105550</t>
  </si>
  <si>
    <t>Rizka aulia K. M</t>
  </si>
  <si>
    <t>Aulia.rizkakm@gmail.com</t>
  </si>
  <si>
    <t>087798264616</t>
  </si>
  <si>
    <t>Staf Data Center</t>
  </si>
  <si>
    <t xml:space="preserve">SQL, Python, Power BI, Looker Studio, Databases, Tableau, </t>
  </si>
  <si>
    <t>Rizka Dandi Maulana</t>
  </si>
  <si>
    <t>rizkadandimaulana@gmail.com</t>
  </si>
  <si>
    <t>081389403300</t>
  </si>
  <si>
    <t>Freelance data reporting specialist</t>
  </si>
  <si>
    <t>rizkha</t>
  </si>
  <si>
    <t>rizkhambadar@gmail.com</t>
  </si>
  <si>
    <t>081615995010</t>
  </si>
  <si>
    <t xml:space="preserve">Rizki Ahmad Faizal </t>
  </si>
  <si>
    <t>rzkahmdfzl20@gmail.com</t>
  </si>
  <si>
    <t>085700205484</t>
  </si>
  <si>
    <t xml:space="preserve">Cikarang </t>
  </si>
  <si>
    <t xml:space="preserve">Pt mkir </t>
  </si>
  <si>
    <t>Rizki Akbar</t>
  </si>
  <si>
    <t>akbarizki@gmail.com</t>
  </si>
  <si>
    <t>081282085157</t>
  </si>
  <si>
    <t>ASN BIG</t>
  </si>
  <si>
    <t xml:space="preserve">Rizky Rahman Arief </t>
  </si>
  <si>
    <t>rizkyyrhmn24@gmail.com</t>
  </si>
  <si>
    <t>089690483883</t>
  </si>
  <si>
    <t xml:space="preserve">Client Solve Mitra Solusi </t>
  </si>
  <si>
    <t xml:space="preserve">Rizqi Agus Sahputra </t>
  </si>
  <si>
    <t>rizqirajins@gmail.com</t>
  </si>
  <si>
    <t>083119978362</t>
  </si>
  <si>
    <t xml:space="preserve">Rizqi Rahmatullah </t>
  </si>
  <si>
    <t>rizqiabkar@gmail.com</t>
  </si>
  <si>
    <t>083274815808</t>
  </si>
  <si>
    <t>Aceh</t>
  </si>
  <si>
    <t>Rizqi Zulqornain</t>
  </si>
  <si>
    <t>rizqizulqornain056@gmail.com</t>
  </si>
  <si>
    <t>0895378007252</t>
  </si>
  <si>
    <t>Cilacap, Jawa Tengah</t>
  </si>
  <si>
    <t>Rodiq altriyanto</t>
  </si>
  <si>
    <t>rrovian@gmail.com</t>
  </si>
  <si>
    <t>085641286832</t>
  </si>
  <si>
    <t>Karanganyar</t>
  </si>
  <si>
    <t>Excel, SQL, Python, Power BI, R</t>
  </si>
  <si>
    <t>romadin</t>
  </si>
  <si>
    <t>angka.ke20@gmail.com</t>
  </si>
  <si>
    <t>081282574664</t>
  </si>
  <si>
    <t>STIKOM PROSIA Jakarta</t>
  </si>
  <si>
    <t>Rosana Rizky</t>
  </si>
  <si>
    <t>Rosanarizky@gmail.com</t>
  </si>
  <si>
    <t>087889172842</t>
  </si>
  <si>
    <t xml:space="preserve">Financial Analyst </t>
  </si>
  <si>
    <t>Rosmawati</t>
  </si>
  <si>
    <t>rosmawatiati13@gmail.com</t>
  </si>
  <si>
    <t>081295271424</t>
  </si>
  <si>
    <t>Roy Palum Ukur Cibro</t>
  </si>
  <si>
    <t>roycibro34@gmail.com</t>
  </si>
  <si>
    <t>082267205135</t>
  </si>
  <si>
    <t>Rusyanti</t>
  </si>
  <si>
    <t>rusyanti.rustam@gmail.com</t>
  </si>
  <si>
    <t>081355042996</t>
  </si>
  <si>
    <t>Gowa</t>
  </si>
  <si>
    <t>Ryan Ardyansyah</t>
  </si>
  <si>
    <t>ardyans1987@gmail.com</t>
  </si>
  <si>
    <t>081269927520</t>
  </si>
  <si>
    <t>Sahrul</t>
  </si>
  <si>
    <t>Sahrul. 2028@gmail.com</t>
  </si>
  <si>
    <t>082348702161</t>
  </si>
  <si>
    <t>Engineer di PT. MKU</t>
  </si>
  <si>
    <t>Sakanti Dwi Bhanuwati</t>
  </si>
  <si>
    <t>sakantiiidb@gmail.com</t>
  </si>
  <si>
    <t>085648952385</t>
  </si>
  <si>
    <t>Salma Nuramalia</t>
  </si>
  <si>
    <t>salmanuramalia29@gmail.com</t>
  </si>
  <si>
    <t>089514572127</t>
  </si>
  <si>
    <t>Salma Septiana</t>
  </si>
  <si>
    <t>salmaseptiana1809@gmail.com</t>
  </si>
  <si>
    <t>085545191409</t>
  </si>
  <si>
    <t>Tangerang,Banten</t>
  </si>
  <si>
    <t>Universitas Diponegoro</t>
  </si>
  <si>
    <t>Salsabil</t>
  </si>
  <si>
    <t>apaajadeh982023@gmail.com</t>
  </si>
  <si>
    <t>087794134516</t>
  </si>
  <si>
    <t>NGO</t>
  </si>
  <si>
    <t>Excel, SQL, Python, Power BI, Looker Studio, Databases, Tableau, Semua tools data analyst</t>
  </si>
  <si>
    <t>Sandra Oktary Milano</t>
  </si>
  <si>
    <t>sandraoktarymilano21@gmail.com</t>
  </si>
  <si>
    <t>085378041762</t>
  </si>
  <si>
    <t>Kota Jambi</t>
  </si>
  <si>
    <t>Sandrina Aulia</t>
  </si>
  <si>
    <t>sndrnaa24@gmail.com</t>
  </si>
  <si>
    <t>081347431355</t>
  </si>
  <si>
    <t>Fresh Graduate (Belum Bekerja)</t>
  </si>
  <si>
    <t>Sandy Aprilyanto</t>
  </si>
  <si>
    <t>sandyaprlynto@gmail.com</t>
  </si>
  <si>
    <t>089508081278</t>
  </si>
  <si>
    <t>Sandy Susanto</t>
  </si>
  <si>
    <t>susantosandy12@gmail.com</t>
  </si>
  <si>
    <t>085155422131</t>
  </si>
  <si>
    <t>Santika Dewi</t>
  </si>
  <si>
    <t>sandewi00@gmail.com</t>
  </si>
  <si>
    <t>082335076561</t>
  </si>
  <si>
    <t>Admin - CV QTA</t>
  </si>
  <si>
    <t>Sarah Sijabat</t>
  </si>
  <si>
    <t>sarahsijabat30@gmail.com</t>
  </si>
  <si>
    <t>081267570195</t>
  </si>
  <si>
    <t>Magang Project Planning di PT. EDUKARIR GLOBAL NUSANTARA</t>
  </si>
  <si>
    <t>Sari Adelheid Wirutana</t>
  </si>
  <si>
    <t>alixxwt03@gmail.com</t>
  </si>
  <si>
    <t>082236984596</t>
  </si>
  <si>
    <t>Kupang</t>
  </si>
  <si>
    <t>Sasa rahmalia</t>
  </si>
  <si>
    <t>sasarhma112@gmail.com</t>
  </si>
  <si>
    <t>087799006268</t>
  </si>
  <si>
    <t>Sehan Rajaya</t>
  </si>
  <si>
    <t>rajayasehan@gmail.com</t>
  </si>
  <si>
    <t>082286481817</t>
  </si>
  <si>
    <t>Selpiya</t>
  </si>
  <si>
    <t>selpiya2006@gmail.com</t>
  </si>
  <si>
    <t>083167020035</t>
  </si>
  <si>
    <t>Mahasiswa/i</t>
  </si>
  <si>
    <t>Septian Dwi Arianto</t>
  </si>
  <si>
    <t>septianq00@gmail.com</t>
  </si>
  <si>
    <t>081252004692</t>
  </si>
  <si>
    <t>mahasiswa</t>
  </si>
  <si>
    <t>Septiany Tri Utami Putri</t>
  </si>
  <si>
    <t>tupseptiany@gmail.com</t>
  </si>
  <si>
    <t>081317519722</t>
  </si>
  <si>
    <t>Cimahi</t>
  </si>
  <si>
    <t xml:space="preserve">Septya Anjelina Putri </t>
  </si>
  <si>
    <t>septyaangelinaputri@gmail.com</t>
  </si>
  <si>
    <t>089627960917</t>
  </si>
  <si>
    <t>Sumatera Barat</t>
  </si>
  <si>
    <t>Guru &amp; Bimbel FJ</t>
  </si>
  <si>
    <t>shally kusnadi</t>
  </si>
  <si>
    <t>shally.kusnadi@yahoo.co.id</t>
  </si>
  <si>
    <t>088218145152</t>
  </si>
  <si>
    <t>Teknologi</t>
  </si>
  <si>
    <t>Shaufa Fadhila Azhara Elfaizal</t>
  </si>
  <si>
    <t>shaufatongkodu@gmail.com</t>
  </si>
  <si>
    <t>085172416640</t>
  </si>
  <si>
    <t>Shela Novitasari</t>
  </si>
  <si>
    <t>important.jobshel@gmail.com</t>
  </si>
  <si>
    <t>089525423475</t>
  </si>
  <si>
    <t>Kebumen</t>
  </si>
  <si>
    <t>Mahasiswa - Universitas terbuka</t>
  </si>
  <si>
    <t>Shofi</t>
  </si>
  <si>
    <t>shofidh.contact@gmail.com</t>
  </si>
  <si>
    <t>085176767172</t>
  </si>
  <si>
    <t>Business Intelligence Analyst</t>
  </si>
  <si>
    <t>Sidiq Fathurochman</t>
  </si>
  <si>
    <t>msidiqf.mail@gmail.com</t>
  </si>
  <si>
    <t>082130607216</t>
  </si>
  <si>
    <t>Sinar Bagus W</t>
  </si>
  <si>
    <t>Sinarbagusw352@gmail.com</t>
  </si>
  <si>
    <t>0895709161070</t>
  </si>
  <si>
    <t>Institut Teknologi Sepuluh Nopember</t>
  </si>
  <si>
    <t>Sindi Rella</t>
  </si>
  <si>
    <t>sindirella151001@gmail.com</t>
  </si>
  <si>
    <t>081254563004</t>
  </si>
  <si>
    <t>belum beerja</t>
  </si>
  <si>
    <t>Siska Nadya Azzahra</t>
  </si>
  <si>
    <t>siskanadya0615@gmail.com</t>
  </si>
  <si>
    <t>088976636754</t>
  </si>
  <si>
    <t>Universitas Indraprasta PGRI</t>
  </si>
  <si>
    <t>Sistari Ramadhanty</t>
  </si>
  <si>
    <t>sistaristudyspace@gmail.com</t>
  </si>
  <si>
    <t>082384897272</t>
  </si>
  <si>
    <t>Pekanbaru, Riau</t>
  </si>
  <si>
    <t>ASN di Lembaga Pemerintah</t>
  </si>
  <si>
    <t xml:space="preserve">Siti Annisa Rahma </t>
  </si>
  <si>
    <t>sitiannisarahma@gmail.com</t>
  </si>
  <si>
    <t>085870125872</t>
  </si>
  <si>
    <t>Teacher Coach di edtech</t>
  </si>
  <si>
    <t>Siti Fatimatul Zahro</t>
  </si>
  <si>
    <t>sifaza1904@gmail.com</t>
  </si>
  <si>
    <t>0859148401823</t>
  </si>
  <si>
    <t>BPO</t>
  </si>
  <si>
    <t>Excel, Python, Power BI, Looker Studio, Databases, Tableau</t>
  </si>
  <si>
    <t>Siti Komala</t>
  </si>
  <si>
    <t>sitikomala823@gmail.com</t>
  </si>
  <si>
    <t>089516739523</t>
  </si>
  <si>
    <t>Subang</t>
  </si>
  <si>
    <t>Administratif</t>
  </si>
  <si>
    <t>Siti Nur Aisyah</t>
  </si>
  <si>
    <t>Bulgori198@gmail.com</t>
  </si>
  <si>
    <t>08127219847</t>
  </si>
  <si>
    <t>Bungo</t>
  </si>
  <si>
    <t>Siti nurbaya</t>
  </si>
  <si>
    <t>bayaubay.83@gmail.com</t>
  </si>
  <si>
    <t>085691418802</t>
  </si>
  <si>
    <t>PT Anggun kreasi garment</t>
  </si>
  <si>
    <t>Siti Nurmala Sari Nainggolan</t>
  </si>
  <si>
    <t>sitinurmalasarinainggolan@gmail.com</t>
  </si>
  <si>
    <t>085760511395</t>
  </si>
  <si>
    <t>PT Mahkota Andalan Sawit</t>
  </si>
  <si>
    <t>Siti Patimah siregar</t>
  </si>
  <si>
    <t>Patimahsiregar17@gmail.com</t>
  </si>
  <si>
    <t>081275856961</t>
  </si>
  <si>
    <t>Pengangguran</t>
  </si>
  <si>
    <t>Siti patimah siregar</t>
  </si>
  <si>
    <t>Jobless</t>
  </si>
  <si>
    <t>Siti Sa'diyah</t>
  </si>
  <si>
    <t>sadiyah0531@gmail.com</t>
  </si>
  <si>
    <t>083153410795</t>
  </si>
  <si>
    <t xml:space="preserve">Sofia Azzahra Alamsyah </t>
  </si>
  <si>
    <t>sofiaazzahra0001@gmail.com</t>
  </si>
  <si>
    <t>085692390483</t>
  </si>
  <si>
    <t xml:space="preserve">Cianjur, Jawa Barat </t>
  </si>
  <si>
    <t>Mahasiswa, Universitas Suryakancana</t>
  </si>
  <si>
    <t>SRI AINUN LATHIFAH</t>
  </si>
  <si>
    <t>sriainun.sa@gmail.com</t>
  </si>
  <si>
    <t>087841598662</t>
  </si>
  <si>
    <t>Staff Administrasi - Yayasan Pondok Pesantren Ulul Albab Makassar</t>
  </si>
  <si>
    <t>Sri Arifah Murni</t>
  </si>
  <si>
    <t>sriarifahm.33@gmail.com</t>
  </si>
  <si>
    <t>081386173641</t>
  </si>
  <si>
    <t>Sri darma</t>
  </si>
  <si>
    <t>srii.darmayanti96@gmail.com</t>
  </si>
  <si>
    <t>085263299161</t>
  </si>
  <si>
    <t>Analisis data</t>
  </si>
  <si>
    <t>Sri darmayanti</t>
  </si>
  <si>
    <t>Srii.darmayanti96@gmail.com</t>
  </si>
  <si>
    <t>082183194297</t>
  </si>
  <si>
    <t>Analisis data /sedang tidak bekerja</t>
  </si>
  <si>
    <t>Stevanus Gunawan</t>
  </si>
  <si>
    <t>stevanus.raz@gmail.com</t>
  </si>
  <si>
    <t>08984256431</t>
  </si>
  <si>
    <t>IT Support, Instansi Swasta</t>
  </si>
  <si>
    <t>SQL, Looker Studio, Databases</t>
  </si>
  <si>
    <t>Suci Sriwahyuni</t>
  </si>
  <si>
    <t>tncl.sucisriwahyuni27@gmail.com</t>
  </si>
  <si>
    <t>082213633021</t>
  </si>
  <si>
    <t>Sucipto</t>
  </si>
  <si>
    <t>Sucip0631@gmail.com</t>
  </si>
  <si>
    <t>0819879996</t>
  </si>
  <si>
    <t>Cloud server</t>
  </si>
  <si>
    <t>Sukadi Siswo Pranoto</t>
  </si>
  <si>
    <t>sukadi.kanzandam@gmail.com</t>
  </si>
  <si>
    <t>085212125365</t>
  </si>
  <si>
    <t>Supriyana</t>
  </si>
  <si>
    <t>supriyana259@gmail.com</t>
  </si>
  <si>
    <t>089636862628</t>
  </si>
  <si>
    <t>BI Developer</t>
  </si>
  <si>
    <t>Python, Looker Studio, Tableau</t>
  </si>
  <si>
    <t xml:space="preserve">Syahrul Munir </t>
  </si>
  <si>
    <t>syahrulmunir96@gmail.com</t>
  </si>
  <si>
    <t>085155430432</t>
  </si>
  <si>
    <t xml:space="preserve">Data engineer - healt &amp; beauty industry </t>
  </si>
  <si>
    <t>Syaid el hasyim</t>
  </si>
  <si>
    <t>syaidelhasyim@gmail.com</t>
  </si>
  <si>
    <t>081261638282</t>
  </si>
  <si>
    <t>Agam</t>
  </si>
  <si>
    <t>Syakira Raihana</t>
  </si>
  <si>
    <t>syakiraraihana5@gmail.com</t>
  </si>
  <si>
    <t>0895704106062</t>
  </si>
  <si>
    <t>Python, Looker Studio, Databases</t>
  </si>
  <si>
    <t xml:space="preserve">Syaqila Sal Sabila </t>
  </si>
  <si>
    <t>syaqilaslsbl@gmail.com</t>
  </si>
  <si>
    <t>085155223150</t>
  </si>
  <si>
    <t xml:space="preserve">Staff Administrasi - Kontraktor </t>
  </si>
  <si>
    <t>Syarifuddin Zakaria</t>
  </si>
  <si>
    <t>syarifuddinzakaria.5217@gmail.com</t>
  </si>
  <si>
    <t>081224858020</t>
  </si>
  <si>
    <t>Karyawan BUMD</t>
  </si>
  <si>
    <t>Excel, SQL, Python, Power BI, Looker Studio, Databases, Tableau, AI for Data Analyst</t>
  </si>
  <si>
    <t>Syifa</t>
  </si>
  <si>
    <t>syifamujiburrahman6@gmail.com</t>
  </si>
  <si>
    <t>082366977220</t>
  </si>
  <si>
    <t>Pegawai Swasta</t>
  </si>
  <si>
    <t xml:space="preserve">Syifa Dwi Sulistyowati </t>
  </si>
  <si>
    <t>ssyifa2909dwi@gmail.com</t>
  </si>
  <si>
    <t>081807116049</t>
  </si>
  <si>
    <t>Takayuki Pratama</t>
  </si>
  <si>
    <t>Takayukipratama19@gmail.com</t>
  </si>
  <si>
    <t>085211023319</t>
  </si>
  <si>
    <t>CPNS di Kementerian ESDM</t>
  </si>
  <si>
    <t>Taufik Ramadhan</t>
  </si>
  <si>
    <t>tramadhan1.gcidesign@gmail.com</t>
  </si>
  <si>
    <t>081779215463</t>
  </si>
  <si>
    <t>OSS Enggineer</t>
  </si>
  <si>
    <t>Thalia Nanda Khofifah</t>
  </si>
  <si>
    <t>thalia.khofifah@gmail.com</t>
  </si>
  <si>
    <t>082182657651</t>
  </si>
  <si>
    <t>Thalisa Nindya Syafira</t>
  </si>
  <si>
    <t>thalisafira05@gmail.com</t>
  </si>
  <si>
    <t>085921598479</t>
  </si>
  <si>
    <t>Thoriq Fauzul Azhim</t>
  </si>
  <si>
    <t>tadzhim14@gmail.com</t>
  </si>
  <si>
    <t>082119108359</t>
  </si>
  <si>
    <t>Universitas Negeri Yogyakarta</t>
  </si>
  <si>
    <t>Timothy R.</t>
  </si>
  <si>
    <t>timothy.rainier@gmail.com</t>
  </si>
  <si>
    <t>085691376542</t>
  </si>
  <si>
    <t>Solution Specialist di SWG</t>
  </si>
  <si>
    <t>Tita Riantiarni</t>
  </si>
  <si>
    <t>tita.riantiarni07@gmail.com</t>
  </si>
  <si>
    <t>082195280859</t>
  </si>
  <si>
    <t>Staff Administrasi Dinas Kehutanan Jambi</t>
  </si>
  <si>
    <t>Titi Nurfadillah</t>
  </si>
  <si>
    <t>titi.nurfadillah21@gmail.com</t>
  </si>
  <si>
    <t>0895630987778</t>
  </si>
  <si>
    <t>Pekerja swasta</t>
  </si>
  <si>
    <t>Trisna Maulidya Wardani</t>
  </si>
  <si>
    <t>trisnamaulidyawardani@gmail.com</t>
  </si>
  <si>
    <t>082324282630</t>
  </si>
  <si>
    <t>Data Analyst - ASA Indonesia</t>
  </si>
  <si>
    <t>Tsaqif Rakha Harli</t>
  </si>
  <si>
    <t>tsaqifrakhah@gmail.com</t>
  </si>
  <si>
    <t>081292193858</t>
  </si>
  <si>
    <t>Mahasiswa - Universitas Pembangunan Nasional "Veteran" Jakarta</t>
  </si>
  <si>
    <t>Ubaid Dzilhilmi</t>
  </si>
  <si>
    <t>ubaiddzilhilmi@gmail.com</t>
  </si>
  <si>
    <t>085850496960</t>
  </si>
  <si>
    <t>Pertanian</t>
  </si>
  <si>
    <t xml:space="preserve">Ubaid Dzilhilmi </t>
  </si>
  <si>
    <t>Rumh bertani</t>
  </si>
  <si>
    <t>Ulil Hidayah Nova Mustika</t>
  </si>
  <si>
    <t>Ulilhnm@gmail.com</t>
  </si>
  <si>
    <t>082237224858</t>
  </si>
  <si>
    <t>Blora</t>
  </si>
  <si>
    <t>Merchandiser / PT Pungkook</t>
  </si>
  <si>
    <t xml:space="preserve">Umair Al Ahmad </t>
  </si>
  <si>
    <t>umairalahmad2001@gmail.com</t>
  </si>
  <si>
    <t>085156689081</t>
  </si>
  <si>
    <t>Umi Masruroh Kusman</t>
  </si>
  <si>
    <t>umikusman@gmail.com</t>
  </si>
  <si>
    <t>085735065174</t>
  </si>
  <si>
    <t>Vandia Rahmahadi Putri</t>
  </si>
  <si>
    <t>vandiarahmap@gmail.com</t>
  </si>
  <si>
    <t>082233290840</t>
  </si>
  <si>
    <t>Staf Admin</t>
  </si>
  <si>
    <t>Wahyu Aji Pradana</t>
  </si>
  <si>
    <t>wahyuajipradana21@gmail.com</t>
  </si>
  <si>
    <t>081990063818</t>
  </si>
  <si>
    <t>BRIN</t>
  </si>
  <si>
    <t xml:space="preserve">Wahyu Aji Pradana </t>
  </si>
  <si>
    <t>Pamulang</t>
  </si>
  <si>
    <t xml:space="preserve">Wahyu Parulian Sitinjak </t>
  </si>
  <si>
    <t>wahyusitinjak21@gmail.com</t>
  </si>
  <si>
    <t>081255057705</t>
  </si>
  <si>
    <t xml:space="preserve">Guru bimbel </t>
  </si>
  <si>
    <t>Widayatullah Ra'yan Gunung Jati</t>
  </si>
  <si>
    <t>dhioray35@gmail.com</t>
  </si>
  <si>
    <t>082141296879</t>
  </si>
  <si>
    <t>Admin Finance</t>
  </si>
  <si>
    <t>Widia Tistrianti</t>
  </si>
  <si>
    <t>widiatistrianti@gmail.com</t>
  </si>
  <si>
    <t>082171276129</t>
  </si>
  <si>
    <t>Telco</t>
  </si>
  <si>
    <t>Widya Indah Puspita Sari</t>
  </si>
  <si>
    <t>widyaindahmg1@gmail.com</t>
  </si>
  <si>
    <t>089690177411</t>
  </si>
  <si>
    <t>Kantor imigrasi</t>
  </si>
  <si>
    <t>William Chandra Pratama</t>
  </si>
  <si>
    <t>williamchandra313@gmail.com</t>
  </si>
  <si>
    <t>082125843536</t>
  </si>
  <si>
    <t>DA Banks</t>
  </si>
  <si>
    <t xml:space="preserve">Winda Ayu Ismawardani </t>
  </si>
  <si>
    <t>windaayy95@gmail.com</t>
  </si>
  <si>
    <t>087729476992</t>
  </si>
  <si>
    <t>Bantul, DIY</t>
  </si>
  <si>
    <t xml:space="preserve">Mahasiswi Semester 1 &amp; Universitas Gadjah Mada </t>
  </si>
  <si>
    <t>Wira Sanjaya</t>
  </si>
  <si>
    <t>sanjayawira02@gmail.com</t>
  </si>
  <si>
    <t>082181771280</t>
  </si>
  <si>
    <t xml:space="preserve">Wiwin Wulan </t>
  </si>
  <si>
    <t>wiwinwulann@gmail.com</t>
  </si>
  <si>
    <t>085772503044</t>
  </si>
  <si>
    <t>Wiwit Setiowati</t>
  </si>
  <si>
    <t>wiwitsetiowati98@gmail.com</t>
  </si>
  <si>
    <t>083156790966</t>
  </si>
  <si>
    <t>Policy Processing at MPM Insurance</t>
  </si>
  <si>
    <t>Wulan Sari Gumilang</t>
  </si>
  <si>
    <t>wulansarigumilang@gmail.com</t>
  </si>
  <si>
    <t>083897420861</t>
  </si>
  <si>
    <t>Data Engineer - PT Astra International</t>
  </si>
  <si>
    <t xml:space="preserve">Yana Ranita Wulandari </t>
  </si>
  <si>
    <t xml:space="preserve">yanaranita04@gmail.com </t>
  </si>
  <si>
    <t>089648597199</t>
  </si>
  <si>
    <t xml:space="preserve">Lampung </t>
  </si>
  <si>
    <t>Yesaya Ananda Djaya</t>
  </si>
  <si>
    <t>Yesaya2903@gmail.com</t>
  </si>
  <si>
    <t>085175129039</t>
  </si>
  <si>
    <t>SQL, Power BI, Looker Studio, Tableau</t>
  </si>
  <si>
    <t xml:space="preserve">Yoga pradika </t>
  </si>
  <si>
    <t>yogapradikadika@gmail.com</t>
  </si>
  <si>
    <t>085841502513</t>
  </si>
  <si>
    <t xml:space="preserve">Belitung </t>
  </si>
  <si>
    <t xml:space="preserve">Universitas Nurul Huda </t>
  </si>
  <si>
    <t>Yosep Indra</t>
  </si>
  <si>
    <t>yosepindra225@gmail.com</t>
  </si>
  <si>
    <t>089513467874</t>
  </si>
  <si>
    <t>Yudha Nugraha</t>
  </si>
  <si>
    <t>yudhanugraha.cr7@gmail.com</t>
  </si>
  <si>
    <t>082377096699</t>
  </si>
  <si>
    <t>programer</t>
  </si>
  <si>
    <t>Yulianti</t>
  </si>
  <si>
    <t>syayulianti89@gmail.com</t>
  </si>
  <si>
    <t>0895701801294</t>
  </si>
  <si>
    <t xml:space="preserve">Pontianak </t>
  </si>
  <si>
    <t>Swasta sebagai admin toko</t>
  </si>
  <si>
    <t>Yulindra Tita</t>
  </si>
  <si>
    <t>yulindratita@gmail.com</t>
  </si>
  <si>
    <t>081392541065</t>
  </si>
  <si>
    <t xml:space="preserve">Yuliyani </t>
  </si>
  <si>
    <t>yaniiiyuli80@gmail.com</t>
  </si>
  <si>
    <t>083896466442</t>
  </si>
  <si>
    <t xml:space="preserve">Tidak sedang bekerja </t>
  </si>
  <si>
    <t>Excel, Power BI, Tableau</t>
  </si>
  <si>
    <t>Yusran.M</t>
  </si>
  <si>
    <t>ymh.ext@gmail.com</t>
  </si>
  <si>
    <t>085749571982</t>
  </si>
  <si>
    <t>Telco company</t>
  </si>
  <si>
    <t>Yusuf Nur Fajar</t>
  </si>
  <si>
    <t>yusufnf2@gmail.com</t>
  </si>
  <si>
    <t>085281836855</t>
  </si>
  <si>
    <t>Sukabumi, Jawa Barat</t>
  </si>
  <si>
    <t>Belum  Bekerja</t>
  </si>
  <si>
    <t>Zainudin Asror</t>
  </si>
  <si>
    <t>Zainudin.asror@gmail.com</t>
  </si>
  <si>
    <t>087881071928</t>
  </si>
  <si>
    <t xml:space="preserve">Zainul Anwar </t>
  </si>
  <si>
    <t>zainulanwar911@gmail.com</t>
  </si>
  <si>
    <t>085746116746</t>
  </si>
  <si>
    <t xml:space="preserve">Jember </t>
  </si>
  <si>
    <t xml:space="preserve">ASN di Pemerintahan Kabupaten Jember </t>
  </si>
  <si>
    <t xml:space="preserve">ASN Pemerintah Kabupaten Jember </t>
  </si>
  <si>
    <t>Excel, SQL</t>
  </si>
  <si>
    <t>Zaldi Abdul Hadi</t>
  </si>
  <si>
    <t>zaldiabdulhadi241@gmail.com</t>
  </si>
  <si>
    <t>085136086754</t>
  </si>
  <si>
    <t>Zetmon Tato Paembong</t>
  </si>
  <si>
    <t>Zet.miners09@gmail.com</t>
  </si>
  <si>
    <t>082299906956</t>
  </si>
  <si>
    <t>Mining Company</t>
  </si>
  <si>
    <t>Zulfatin Nafisah</t>
  </si>
  <si>
    <t>fatinnafis27@gmail.com</t>
  </si>
  <si>
    <t>08985607640</t>
  </si>
  <si>
    <t>Jepara</t>
  </si>
  <si>
    <t>Zulma Nayla Ifaada</t>
  </si>
  <si>
    <t>zulmanayla.datascientist@gmail.com</t>
  </si>
  <si>
    <t>083165040062</t>
  </si>
  <si>
    <t>Lamongan</t>
  </si>
  <si>
    <t>Databases, Tableau</t>
  </si>
  <si>
    <t>Zulyan Firdaus</t>
  </si>
  <si>
    <t>firrzulyann@gmail.com</t>
  </si>
  <si>
    <t>085756380399</t>
  </si>
  <si>
    <t>Bekasi, Jawa Barat</t>
  </si>
  <si>
    <t xml:space="preserve">SAP Rollout Support </t>
  </si>
  <si>
    <t>Aceh Utara</t>
  </si>
  <si>
    <t>Bali</t>
  </si>
  <si>
    <t>Bangka  Belitung</t>
  </si>
  <si>
    <t>Ciamis Jawa Barat</t>
  </si>
  <si>
    <t>Sukoharjo</t>
  </si>
  <si>
    <t xml:space="preserve">Kediri </t>
  </si>
  <si>
    <t>Probolinggo</t>
  </si>
  <si>
    <t>Tuban</t>
  </si>
  <si>
    <t xml:space="preserve">Kalimantan Tengah </t>
  </si>
  <si>
    <t>Palangkaraya Kalimantan Tengah</t>
  </si>
  <si>
    <t>Kalimatan Tengah</t>
  </si>
  <si>
    <t>Nusa Tenggara Barat</t>
  </si>
  <si>
    <t>Nusa Tenggara Timur</t>
  </si>
  <si>
    <t>Rokan Hilir</t>
  </si>
  <si>
    <t>Sulawesi Tenggara</t>
  </si>
  <si>
    <t>Padang Panjang</t>
  </si>
  <si>
    <t>Tanjung Enim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</si>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</sst>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readingOrder="0" shrinkToFit="0" wrapText="0"/>
    </xf>
    <xf borderId="1" fillId="3" fontId="1" numFmtId="0" xfId="0" applyAlignment="1" applyBorder="1" applyFont="1">
      <alignment readingOrder="0"/>
    </xf>
    <xf borderId="2" fillId="2" fontId="2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readingOrder="0"/>
    </xf>
    <xf borderId="2" fillId="3" fontId="2" numFmtId="0" xfId="0" applyAlignment="1" applyBorder="1" applyFont="1">
      <alignment readingOrder="0" shrinkToFit="0" wrapText="0"/>
    </xf>
    <xf borderId="2" fillId="3" fontId="1" numFmtId="0" xfId="0" applyAlignment="1" applyBorder="1" applyFont="1">
      <alignment readingOrder="0"/>
    </xf>
    <xf borderId="1" fillId="2" fontId="2" numFmtId="0" xfId="0" applyAlignment="1" applyBorder="1" applyFont="1">
      <alignment shrinkToFit="0" wrapText="0"/>
    </xf>
    <xf borderId="0" fillId="3" fontId="2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82" displayName="Form_Responses" name="Form_Responses" id="1">
  <autoFilter ref="$A$1:$P$682"/>
  <tableColumns count="16">
    <tableColumn name="Timestamp" id="1"/>
    <tableColumn name="Nama Lengkap" id="2"/>
    <tableColumn name="Email" id="3"/>
    <tableColumn name="Nomor WhatsApp" id="4"/>
    <tableColumn name="Domisili" id="5"/>
    <tableColumn name="Apakah Anda Mahasiswa / Fresh Graduate" id="6"/>
    <tableColumn name="Pekerjaan &amp; Instansi Saat Ini" id="7"/>
    <tableColumn name="Tools yang Ingin Dipelajari" id="8"/>
    <tableColumn name="Target Join Komunitas" id="9"/>
    <tableColumn name="Tau Seara Data Dari Mana?" id="10"/>
    <tableColumn name="Column 1" id="11"/>
    <tableColumn name="Provinsi" id="12"/>
    <tableColumn name="Cari Kerja" id="13"/>
    <tableColumn name="Upskill" id="14"/>
    <tableColumn name="Networking" id="15"/>
    <tableColumn name="Switch Career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0"/>
    <col customWidth="1" min="4" max="5" width="18.88"/>
    <col customWidth="1" min="6" max="6" width="37.13"/>
    <col customWidth="1" min="7" max="7" width="54.63"/>
    <col customWidth="1" min="8" max="8" width="24.38"/>
    <col customWidth="1" min="9" max="9" width="21.75"/>
    <col customWidth="1" min="10" max="10" width="24.88"/>
    <col customWidth="1" min="11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46049.122769988426</v>
      </c>
      <c r="B2" s="4" t="s">
        <v>16</v>
      </c>
      <c r="C2" s="5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6" t="str">
        <f t="shared" ref="K2:K682" si="1">IF(LEFT(D2,2)="62","0"&amp;MID(D2,3,LEN(D2)),D2)
</f>
        <v>082242458593</v>
      </c>
      <c r="L2" s="6" t="str">
        <f>IFERROR(
VLOOKUP(
TRIM(
IF(ISNUMBER(FIND(",",E2)),
LEFT(E2,FIND(",",E2)-1),
E2
)
),
master!A:B,
2,
FALSE
),
"Belum ada mapping"
)
</f>
        <v>Jawa Tengah</v>
      </c>
      <c r="M2" s="6">
        <f>IFERROR(__xludf.DUMMYFUNCTION("IF(REGEXMATCH(I2,""Cari Kerja""),1,0)
"),1.0)</f>
        <v>1</v>
      </c>
      <c r="N2" s="6">
        <f>IFERROR(__xludf.DUMMYFUNCTION("IF(REGEXMATCH(I2,""Upskill""),1,0)
"),1.0)</f>
        <v>1</v>
      </c>
      <c r="O2" s="6">
        <f>IFERROR(__xludf.DUMMYFUNCTION("IF(REGEXMATCH(I2,""Networking""),1,0)
"),1.0)</f>
        <v>1</v>
      </c>
      <c r="P2" s="6">
        <f>IFERROR(__xludf.DUMMYFUNCTION("IF(REGEXMATCH(I2,""Switch Career""),1,0)
"),0.0)</f>
        <v>0</v>
      </c>
    </row>
    <row r="3" ht="22.5" customHeight="1">
      <c r="A3" s="7">
        <v>46041.39993054398</v>
      </c>
      <c r="B3" s="8" t="s">
        <v>25</v>
      </c>
      <c r="C3" s="8" t="s">
        <v>26</v>
      </c>
      <c r="D3" s="9" t="s">
        <v>27</v>
      </c>
      <c r="E3" s="8" t="s">
        <v>28</v>
      </c>
      <c r="F3" s="8" t="s">
        <v>20</v>
      </c>
      <c r="G3" s="8" t="s">
        <v>29</v>
      </c>
      <c r="H3" s="8" t="s">
        <v>30</v>
      </c>
      <c r="I3" s="8" t="s">
        <v>31</v>
      </c>
      <c r="J3" s="8" t="s">
        <v>24</v>
      </c>
      <c r="K3" s="6" t="str">
        <f t="shared" si="1"/>
        <v>089636422658</v>
      </c>
      <c r="L3" s="6" t="str">
        <f>IFERROR(
VLOOKUP(
TRIM(
IF(ISNUMBER(FIND(",",E3)),
LEFT(E3,FIND(",",E3)-1),
E3
)
),
master!A:B,
2,
FALSE
),
"Belum ada mapping"
)
</f>
        <v>Sumatera Barat</v>
      </c>
      <c r="M3" s="6">
        <f>IFERROR(__xludf.DUMMYFUNCTION("IF(REGEXMATCH(I3,""Cari Kerja""),1,0)
"),1.0)</f>
        <v>1</v>
      </c>
      <c r="N3" s="6">
        <f>IFERROR(__xludf.DUMMYFUNCTION("IF(REGEXMATCH(I3,""Upskill""),1,0)
"),1.0)</f>
        <v>1</v>
      </c>
      <c r="O3" s="6">
        <f>IFERROR(__xludf.DUMMYFUNCTION("IF(REGEXMATCH(I3,""Networking""),1,0)
"),1.0)</f>
        <v>1</v>
      </c>
      <c r="P3" s="6">
        <f>IFERROR(__xludf.DUMMYFUNCTION("IF(REGEXMATCH(I3,""Switch Career""),1,0)
"),1.0)</f>
        <v>1</v>
      </c>
    </row>
    <row r="4" ht="22.5" customHeight="1">
      <c r="A4" s="3">
        <v>46159.85935921296</v>
      </c>
      <c r="B4" s="5" t="s">
        <v>32</v>
      </c>
      <c r="C4" s="5" t="s">
        <v>33</v>
      </c>
      <c r="D4" s="4" t="s">
        <v>34</v>
      </c>
      <c r="E4" s="5" t="s">
        <v>35</v>
      </c>
      <c r="F4" s="5" t="s">
        <v>20</v>
      </c>
      <c r="G4" s="5" t="s">
        <v>36</v>
      </c>
      <c r="H4" s="5" t="s">
        <v>37</v>
      </c>
      <c r="I4" s="5" t="s">
        <v>23</v>
      </c>
      <c r="J4" s="5" t="s">
        <v>38</v>
      </c>
      <c r="K4" s="10" t="str">
        <f t="shared" si="1"/>
        <v>085785757834</v>
      </c>
      <c r="L4" s="10" t="str">
        <f>IFERROR(
VLOOKUP(
TRIM(
IF(ISNUMBER(FIND(",",E4)),
LEFT(E4,FIND(",",E4)-1),
E4
)
),
master!A:B,
2,
FALSE
),
"Belum ada mapping"
)
</f>
        <v>Jawa Timur</v>
      </c>
      <c r="M4" s="10">
        <f>IFERROR(__xludf.DUMMYFUNCTION("IF(REGEXMATCH(I4,""Cari Kerja""),1,0)
"),1.0)</f>
        <v>1</v>
      </c>
      <c r="N4" s="10">
        <f>IFERROR(__xludf.DUMMYFUNCTION("IF(REGEXMATCH(I4,""Upskill""),1,0)
"),1.0)</f>
        <v>1</v>
      </c>
      <c r="O4" s="10">
        <f>IFERROR(__xludf.DUMMYFUNCTION("IF(REGEXMATCH(I4,""Networking""),1,0)
"),1.0)</f>
        <v>1</v>
      </c>
      <c r="P4" s="10">
        <f>IFERROR(__xludf.DUMMYFUNCTION("IF(REGEXMATCH(I4,""Switch Career""),1,0)
"),0.0)</f>
        <v>0</v>
      </c>
    </row>
    <row r="5" ht="22.5" customHeight="1">
      <c r="A5" s="3">
        <v>46043.570453645836</v>
      </c>
      <c r="B5" s="5" t="s">
        <v>39</v>
      </c>
      <c r="C5" s="5" t="s">
        <v>40</v>
      </c>
      <c r="D5" s="4" t="s">
        <v>41</v>
      </c>
      <c r="E5" s="5" t="s">
        <v>42</v>
      </c>
      <c r="F5" s="5" t="s">
        <v>20</v>
      </c>
      <c r="G5" s="5" t="s">
        <v>43</v>
      </c>
      <c r="H5" s="5" t="s">
        <v>44</v>
      </c>
      <c r="I5" s="5" t="s">
        <v>13</v>
      </c>
      <c r="J5" s="5" t="s">
        <v>24</v>
      </c>
      <c r="K5" s="6" t="str">
        <f t="shared" si="1"/>
        <v>0895421552311</v>
      </c>
      <c r="L5" s="6" t="str">
        <f>IFERROR(
VLOOKUP(
TRIM(
IF(ISNUMBER(FIND(",",E5)),
LEFT(E5,FIND(",",E5)-1),
E5
)
),
master!A:B,
2,
FALSE
),
"Belum ada mapping"
)
</f>
        <v>Jawa Barat</v>
      </c>
      <c r="M5" s="6">
        <f>IFERROR(__xludf.DUMMYFUNCTION("IF(REGEXMATCH(I5,""Cari Kerja""),1,0)
"),0.0)</f>
        <v>0</v>
      </c>
      <c r="N5" s="6">
        <f>IFERROR(__xludf.DUMMYFUNCTION("IF(REGEXMATCH(I5,""Upskill""),1,0)
"),1.0)</f>
        <v>1</v>
      </c>
      <c r="O5" s="6">
        <f>IFERROR(__xludf.DUMMYFUNCTION("IF(REGEXMATCH(I5,""Networking""),1,0)
"),0.0)</f>
        <v>0</v>
      </c>
      <c r="P5" s="6">
        <f>IFERROR(__xludf.DUMMYFUNCTION("IF(REGEXMATCH(I5,""Switch Career""),1,0)
"),0.0)</f>
        <v>0</v>
      </c>
    </row>
    <row r="6" ht="22.5" customHeight="1">
      <c r="A6" s="3">
        <v>46043.297977905095</v>
      </c>
      <c r="B6" s="5" t="s">
        <v>45</v>
      </c>
      <c r="C6" s="5" t="s">
        <v>46</v>
      </c>
      <c r="D6" s="4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38</v>
      </c>
      <c r="K6" s="6" t="str">
        <f t="shared" si="1"/>
        <v>085803655302</v>
      </c>
      <c r="L6" s="6" t="str">
        <f>IFERROR(
VLOOKUP(
TRIM(
IF(ISNUMBER(FIND(",",E6)),
LEFT(E6,FIND(",",E6)-1),
E6
)
),
master!A:B,
2,
FALSE
),
"Belum ada mapping"
)
</f>
        <v>DI Yogyakarta</v>
      </c>
      <c r="M6" s="6">
        <f>IFERROR(__xludf.DUMMYFUNCTION("IF(REGEXMATCH(I6,""Cari Kerja""),1,0)
"),0.0)</f>
        <v>0</v>
      </c>
      <c r="N6" s="6">
        <f>IFERROR(__xludf.DUMMYFUNCTION("IF(REGEXMATCH(I6,""Upskill""),1,0)
"),1.0)</f>
        <v>1</v>
      </c>
      <c r="O6" s="6">
        <f>IFERROR(__xludf.DUMMYFUNCTION("IF(REGEXMATCH(I6,""Networking""),1,0)
"),1.0)</f>
        <v>1</v>
      </c>
      <c r="P6" s="6">
        <f>IFERROR(__xludf.DUMMYFUNCTION("IF(REGEXMATCH(I6,""Switch Career""),1,0)
"),1.0)</f>
        <v>1</v>
      </c>
    </row>
    <row r="7" ht="22.5" customHeight="1">
      <c r="A7" s="7">
        <v>46040.432663761574</v>
      </c>
      <c r="B7" s="8" t="s">
        <v>53</v>
      </c>
      <c r="C7" s="8" t="s">
        <v>54</v>
      </c>
      <c r="D7" s="9" t="s">
        <v>55</v>
      </c>
      <c r="E7" s="8" t="s">
        <v>56</v>
      </c>
      <c r="F7" s="8" t="s">
        <v>20</v>
      </c>
      <c r="G7" s="8" t="s">
        <v>57</v>
      </c>
      <c r="H7" s="8" t="s">
        <v>58</v>
      </c>
      <c r="I7" s="8" t="s">
        <v>59</v>
      </c>
      <c r="J7" s="8" t="s">
        <v>38</v>
      </c>
      <c r="K7" s="6" t="str">
        <f t="shared" si="1"/>
        <v>085692331114</v>
      </c>
      <c r="L7" s="6" t="str">
        <f>IFERROR(
VLOOKUP(
TRIM(
IF(ISNUMBER(FIND(",",E7)),
LEFT(E7,FIND(",",E7)-1),
E7
)
),
master!A:B,
2,
FALSE
),
"Belum ada mapping"
)
</f>
        <v>Banten</v>
      </c>
      <c r="M7" s="6">
        <f>IFERROR(__xludf.DUMMYFUNCTION("IF(REGEXMATCH(I7,""Cari Kerja""),1,0)
"),0.0)</f>
        <v>0</v>
      </c>
      <c r="N7" s="6">
        <f>IFERROR(__xludf.DUMMYFUNCTION("IF(REGEXMATCH(I7,""Upskill""),1,0)
"),1.0)</f>
        <v>1</v>
      </c>
      <c r="O7" s="6">
        <f>IFERROR(__xludf.DUMMYFUNCTION("IF(REGEXMATCH(I7,""Networking""),1,0)
"),1.0)</f>
        <v>1</v>
      </c>
      <c r="P7" s="6">
        <f>IFERROR(__xludf.DUMMYFUNCTION("IF(REGEXMATCH(I7,""Switch Career""),1,0)
"),0.0)</f>
        <v>0</v>
      </c>
    </row>
    <row r="8" ht="22.5" customHeight="1">
      <c r="A8" s="3">
        <v>46045.47754622685</v>
      </c>
      <c r="B8" s="5" t="s">
        <v>60</v>
      </c>
      <c r="C8" s="5" t="s">
        <v>61</v>
      </c>
      <c r="D8" s="4" t="s">
        <v>62</v>
      </c>
      <c r="E8" s="5" t="s">
        <v>63</v>
      </c>
      <c r="F8" s="5" t="s">
        <v>49</v>
      </c>
      <c r="G8" s="5" t="s">
        <v>64</v>
      </c>
      <c r="H8" s="5" t="s">
        <v>51</v>
      </c>
      <c r="I8" s="5" t="s">
        <v>31</v>
      </c>
      <c r="J8" s="5" t="s">
        <v>24</v>
      </c>
      <c r="K8" s="6" t="str">
        <f t="shared" si="1"/>
        <v>083843588880</v>
      </c>
      <c r="L8" s="6" t="str">
        <f>IFERROR(
VLOOKUP(
TRIM(
IF(ISNUMBER(FIND(",",E8)),
LEFT(E8,FIND(",",E8)-1),
E8
)
),
master!A:B,
2,
FALSE
),
"Belum ada mapping"
)
</f>
        <v>Jawa Tengah</v>
      </c>
      <c r="M8" s="6">
        <f>IFERROR(__xludf.DUMMYFUNCTION("IF(REGEXMATCH(I8,""Cari Kerja""),1,0)
"),1.0)</f>
        <v>1</v>
      </c>
      <c r="N8" s="6">
        <f>IFERROR(__xludf.DUMMYFUNCTION("IF(REGEXMATCH(I8,""Upskill""),1,0)
"),1.0)</f>
        <v>1</v>
      </c>
      <c r="O8" s="6">
        <f>IFERROR(__xludf.DUMMYFUNCTION("IF(REGEXMATCH(I8,""Networking""),1,0)
"),1.0)</f>
        <v>1</v>
      </c>
      <c r="P8" s="6">
        <f>IFERROR(__xludf.DUMMYFUNCTION("IF(REGEXMATCH(I8,""Switch Career""),1,0)
"),1.0)</f>
        <v>1</v>
      </c>
    </row>
    <row r="9" ht="22.5" customHeight="1">
      <c r="A9" s="7">
        <v>46041.39882447917</v>
      </c>
      <c r="B9" s="8" t="s">
        <v>65</v>
      </c>
      <c r="C9" s="8" t="s">
        <v>66</v>
      </c>
      <c r="D9" s="9" t="s">
        <v>67</v>
      </c>
      <c r="E9" s="8" t="s">
        <v>68</v>
      </c>
      <c r="F9" s="8" t="s">
        <v>20</v>
      </c>
      <c r="G9" s="8" t="s">
        <v>69</v>
      </c>
      <c r="H9" s="8" t="s">
        <v>70</v>
      </c>
      <c r="I9" s="8" t="s">
        <v>23</v>
      </c>
      <c r="J9" s="8" t="s">
        <v>24</v>
      </c>
      <c r="K9" s="6" t="str">
        <f t="shared" si="1"/>
        <v>083865555032</v>
      </c>
      <c r="L9" s="6" t="str">
        <f>IFERROR(
VLOOKUP(
TRIM(
IF(ISNUMBER(FIND(",",E9)),
LEFT(E9,FIND(",",E9)-1),
E9
)
),
master!A:B,
2,
FALSE
),
"Belum ada mapping"
)
</f>
        <v>Jawa Tengah</v>
      </c>
      <c r="M9" s="6">
        <f>IFERROR(__xludf.DUMMYFUNCTION("IF(REGEXMATCH(I9,""Cari Kerja""),1,0)
"),1.0)</f>
        <v>1</v>
      </c>
      <c r="N9" s="6">
        <f>IFERROR(__xludf.DUMMYFUNCTION("IF(REGEXMATCH(I9,""Upskill""),1,0)
"),1.0)</f>
        <v>1</v>
      </c>
      <c r="O9" s="6">
        <f>IFERROR(__xludf.DUMMYFUNCTION("IF(REGEXMATCH(I9,""Networking""),1,0)
"),1.0)</f>
        <v>1</v>
      </c>
      <c r="P9" s="6">
        <f>IFERROR(__xludf.DUMMYFUNCTION("IF(REGEXMATCH(I9,""Switch Career""),1,0)
"),0.0)</f>
        <v>0</v>
      </c>
    </row>
    <row r="10" ht="22.5" customHeight="1">
      <c r="A10" s="3">
        <v>46045.612349710646</v>
      </c>
      <c r="B10" s="5" t="s">
        <v>71</v>
      </c>
      <c r="C10" s="5" t="s">
        <v>72</v>
      </c>
      <c r="D10" s="4" t="s">
        <v>73</v>
      </c>
      <c r="E10" s="5" t="s">
        <v>74</v>
      </c>
      <c r="F10" s="5" t="s">
        <v>49</v>
      </c>
      <c r="G10" s="5" t="s">
        <v>75</v>
      </c>
      <c r="H10" s="5" t="s">
        <v>51</v>
      </c>
      <c r="I10" s="5" t="s">
        <v>59</v>
      </c>
      <c r="J10" s="5" t="s">
        <v>76</v>
      </c>
      <c r="K10" s="6" t="str">
        <f t="shared" si="1"/>
        <v>087814074676</v>
      </c>
      <c r="L10" s="6" t="str">
        <f>IFERROR(
VLOOKUP(
TRIM(
IF(ISNUMBER(FIND(",",E10)),
LEFT(E10,FIND(",",E10)-1),
E10
)
),
master!A:B,
2,
FALSE
),
"Belum ada mapping"
)
</f>
        <v>Banten</v>
      </c>
      <c r="M10" s="6">
        <f>IFERROR(__xludf.DUMMYFUNCTION("IF(REGEXMATCH(I10,""Cari Kerja""),1,0)
"),0.0)</f>
        <v>0</v>
      </c>
      <c r="N10" s="6">
        <f>IFERROR(__xludf.DUMMYFUNCTION("IF(REGEXMATCH(I10,""Upskill""),1,0)
"),1.0)</f>
        <v>1</v>
      </c>
      <c r="O10" s="6">
        <f>IFERROR(__xludf.DUMMYFUNCTION("IF(REGEXMATCH(I10,""Networking""),1,0)
"),1.0)</f>
        <v>1</v>
      </c>
      <c r="P10" s="6">
        <f>IFERROR(__xludf.DUMMYFUNCTION("IF(REGEXMATCH(I10,""Switch Career""),1,0)
"),0.0)</f>
        <v>0</v>
      </c>
    </row>
    <row r="11" ht="22.5" customHeight="1">
      <c r="A11" s="3">
        <v>46045.71087082176</v>
      </c>
      <c r="B11" s="5" t="s">
        <v>77</v>
      </c>
      <c r="C11" s="5" t="s">
        <v>78</v>
      </c>
      <c r="D11" s="4" t="s">
        <v>79</v>
      </c>
      <c r="E11" s="5" t="s">
        <v>80</v>
      </c>
      <c r="F11" s="5" t="s">
        <v>49</v>
      </c>
      <c r="G11" s="5" t="s">
        <v>81</v>
      </c>
      <c r="H11" s="5" t="s">
        <v>82</v>
      </c>
      <c r="I11" s="5" t="s">
        <v>31</v>
      </c>
      <c r="J11" s="5" t="s">
        <v>38</v>
      </c>
      <c r="K11" s="6" t="str">
        <f t="shared" si="1"/>
        <v>087776964621</v>
      </c>
      <c r="L11" s="6" t="str">
        <f>IFERROR(
VLOOKUP(
TRIM(
IF(ISNUMBER(FIND(",",E11)),
LEFT(E11,FIND(",",E11)-1),
E11
)
),
master!A:B,
2,
FALSE
),
"Belum ada mapping"
)
</f>
        <v>Jawa Timur</v>
      </c>
      <c r="M11" s="6">
        <f>IFERROR(__xludf.DUMMYFUNCTION("IF(REGEXMATCH(I11,""Cari Kerja""),1,0)
"),1.0)</f>
        <v>1</v>
      </c>
      <c r="N11" s="6">
        <f>IFERROR(__xludf.DUMMYFUNCTION("IF(REGEXMATCH(I11,""Upskill""),1,0)
"),1.0)</f>
        <v>1</v>
      </c>
      <c r="O11" s="6">
        <f>IFERROR(__xludf.DUMMYFUNCTION("IF(REGEXMATCH(I11,""Networking""),1,0)
"),1.0)</f>
        <v>1</v>
      </c>
      <c r="P11" s="6">
        <f>IFERROR(__xludf.DUMMYFUNCTION("IF(REGEXMATCH(I11,""Switch Career""),1,0)
"),1.0)</f>
        <v>1</v>
      </c>
    </row>
    <row r="12" ht="22.5" customHeight="1">
      <c r="A12" s="3">
        <v>46134.69488524305</v>
      </c>
      <c r="B12" s="5" t="s">
        <v>83</v>
      </c>
      <c r="C12" s="5" t="s">
        <v>84</v>
      </c>
      <c r="D12" s="4" t="s">
        <v>85</v>
      </c>
      <c r="E12" s="5" t="s">
        <v>86</v>
      </c>
      <c r="F12" s="5" t="s">
        <v>20</v>
      </c>
      <c r="G12" s="5" t="s">
        <v>69</v>
      </c>
      <c r="H12" s="5" t="s">
        <v>87</v>
      </c>
      <c r="I12" s="5" t="s">
        <v>12</v>
      </c>
      <c r="J12" s="5" t="s">
        <v>76</v>
      </c>
      <c r="K12" s="10" t="str">
        <f t="shared" si="1"/>
        <v>082228461957</v>
      </c>
      <c r="L12" s="10" t="str">
        <f>IFERROR(
VLOOKUP(
TRIM(
IF(ISNUMBER(FIND(",",E12)),
LEFT(E12,FIND(",",E12)-1),
E12
)
),
master!A:B,
2,
FALSE
),
"Belum ada mapping"
)
</f>
        <v>Jawa Tengah</v>
      </c>
      <c r="M12" s="10">
        <f>IFERROR(__xludf.DUMMYFUNCTION("IF(REGEXMATCH(I12,""Cari Kerja""),1,0)
"),1.0)</f>
        <v>1</v>
      </c>
      <c r="N12" s="10">
        <f>IFERROR(__xludf.DUMMYFUNCTION("IF(REGEXMATCH(I12,""Upskill""),1,0)
"),0.0)</f>
        <v>0</v>
      </c>
      <c r="O12" s="10">
        <f>IFERROR(__xludf.DUMMYFUNCTION("IF(REGEXMATCH(I12,""Networking""),1,0)
"),0.0)</f>
        <v>0</v>
      </c>
      <c r="P12" s="10">
        <f>IFERROR(__xludf.DUMMYFUNCTION("IF(REGEXMATCH(I12,""Switch Career""),1,0)
"),0.0)</f>
        <v>0</v>
      </c>
    </row>
    <row r="13" ht="22.5" customHeight="1">
      <c r="A13" s="3">
        <v>46046.568137511575</v>
      </c>
      <c r="B13" s="5" t="s">
        <v>88</v>
      </c>
      <c r="C13" s="5" t="s">
        <v>84</v>
      </c>
      <c r="D13" s="4" t="s">
        <v>85</v>
      </c>
      <c r="E13" s="5" t="s">
        <v>19</v>
      </c>
      <c r="F13" s="5" t="s">
        <v>20</v>
      </c>
      <c r="G13" s="5" t="s">
        <v>69</v>
      </c>
      <c r="H13" s="5" t="s">
        <v>51</v>
      </c>
      <c r="I13" s="5" t="s">
        <v>23</v>
      </c>
      <c r="J13" s="5" t="s">
        <v>24</v>
      </c>
      <c r="K13" s="6" t="str">
        <f t="shared" si="1"/>
        <v>082228461957</v>
      </c>
      <c r="L13" s="6" t="str">
        <f>IFERROR(
VLOOKUP(
TRIM(
IF(ISNUMBER(FIND(",",E13)),
LEFT(E13,FIND(",",E13)-1),
E13
)
),
master!A:B,
2,
FALSE
),
"Belum ada mapping"
)
</f>
        <v>Jawa Tengah</v>
      </c>
      <c r="M13" s="6">
        <f>IFERROR(__xludf.DUMMYFUNCTION("IF(REGEXMATCH(I13,""Cari Kerja""),1,0)
"),1.0)</f>
        <v>1</v>
      </c>
      <c r="N13" s="6">
        <f>IFERROR(__xludf.DUMMYFUNCTION("IF(REGEXMATCH(I13,""Upskill""),1,0)
"),1.0)</f>
        <v>1</v>
      </c>
      <c r="O13" s="6">
        <f>IFERROR(__xludf.DUMMYFUNCTION("IF(REGEXMATCH(I13,""Networking""),1,0)
"),1.0)</f>
        <v>1</v>
      </c>
      <c r="P13" s="6">
        <f>IFERROR(__xludf.DUMMYFUNCTION("IF(REGEXMATCH(I13,""Switch Career""),1,0)
"),0.0)</f>
        <v>0</v>
      </c>
    </row>
    <row r="14" ht="22.5" customHeight="1">
      <c r="A14" s="3">
        <v>46046.41476263889</v>
      </c>
      <c r="B14" s="5" t="s">
        <v>89</v>
      </c>
      <c r="C14" s="5" t="s">
        <v>90</v>
      </c>
      <c r="D14" s="4" t="s">
        <v>91</v>
      </c>
      <c r="E14" s="5" t="s">
        <v>92</v>
      </c>
      <c r="F14" s="5" t="s">
        <v>20</v>
      </c>
      <c r="G14" s="5" t="s">
        <v>69</v>
      </c>
      <c r="H14" s="5" t="s">
        <v>93</v>
      </c>
      <c r="I14" s="5" t="s">
        <v>13</v>
      </c>
      <c r="J14" s="5" t="s">
        <v>38</v>
      </c>
      <c r="K14" s="6" t="str">
        <f t="shared" si="1"/>
        <v>085862612541</v>
      </c>
      <c r="L14" s="6" t="str">
        <f>IFERROR(
VLOOKUP(
TRIM(
IF(ISNUMBER(FIND(",",E14)),
LEFT(E14,FIND(",",E14)-1),
E14
)
),
master!A:B,
2,
FALSE
),
"Belum ada mapping"
)
</f>
        <v>Jawa Barat</v>
      </c>
      <c r="M14" s="6">
        <f>IFERROR(__xludf.DUMMYFUNCTION("IF(REGEXMATCH(I14,""Cari Kerja""),1,0)
"),0.0)</f>
        <v>0</v>
      </c>
      <c r="N14" s="6">
        <f>IFERROR(__xludf.DUMMYFUNCTION("IF(REGEXMATCH(I14,""Upskill""),1,0)
"),1.0)</f>
        <v>1</v>
      </c>
      <c r="O14" s="6">
        <f>IFERROR(__xludf.DUMMYFUNCTION("IF(REGEXMATCH(I14,""Networking""),1,0)
"),0.0)</f>
        <v>0</v>
      </c>
      <c r="P14" s="6">
        <f>IFERROR(__xludf.DUMMYFUNCTION("IF(REGEXMATCH(I14,""Switch Career""),1,0)
"),0.0)</f>
        <v>0</v>
      </c>
    </row>
    <row r="15" ht="22.5" customHeight="1">
      <c r="A15" s="3">
        <v>46045.8066012037</v>
      </c>
      <c r="B15" s="5" t="s">
        <v>94</v>
      </c>
      <c r="C15" s="5" t="s">
        <v>95</v>
      </c>
      <c r="D15" s="4" t="s">
        <v>96</v>
      </c>
      <c r="E15" s="5" t="s">
        <v>97</v>
      </c>
      <c r="F15" s="5" t="s">
        <v>49</v>
      </c>
      <c r="G15" s="5" t="s">
        <v>98</v>
      </c>
      <c r="H15" s="5" t="s">
        <v>30</v>
      </c>
      <c r="I15" s="5" t="s">
        <v>59</v>
      </c>
      <c r="J15" s="5" t="s">
        <v>24</v>
      </c>
      <c r="K15" s="6" t="str">
        <f t="shared" si="1"/>
        <v>081380305890</v>
      </c>
      <c r="L15" s="6" t="str">
        <f>IFERROR(
VLOOKUP(
TRIM(
IF(ISNUMBER(FIND(",",E15)),
LEFT(E15,FIND(",",E15)-1),
E15
)
),
master!A:B,
2,
FALSE
),
"Belum ada mapping"
)
</f>
        <v>Jakarta</v>
      </c>
      <c r="M15" s="6">
        <f>IFERROR(__xludf.DUMMYFUNCTION("IF(REGEXMATCH(I15,""Cari Kerja""),1,0)
"),0.0)</f>
        <v>0</v>
      </c>
      <c r="N15" s="6">
        <f>IFERROR(__xludf.DUMMYFUNCTION("IF(REGEXMATCH(I15,""Upskill""),1,0)
"),1.0)</f>
        <v>1</v>
      </c>
      <c r="O15" s="6">
        <f>IFERROR(__xludf.DUMMYFUNCTION("IF(REGEXMATCH(I15,""Networking""),1,0)
"),1.0)</f>
        <v>1</v>
      </c>
      <c r="P15" s="6">
        <f>IFERROR(__xludf.DUMMYFUNCTION("IF(REGEXMATCH(I15,""Switch Career""),1,0)
"),0.0)</f>
        <v>0</v>
      </c>
    </row>
    <row r="16" ht="22.5" customHeight="1">
      <c r="A16" s="3">
        <v>46047.99407273148</v>
      </c>
      <c r="B16" s="5" t="s">
        <v>99</v>
      </c>
      <c r="C16" s="5" t="s">
        <v>100</v>
      </c>
      <c r="D16" s="4" t="s">
        <v>101</v>
      </c>
      <c r="E16" s="5" t="s">
        <v>28</v>
      </c>
      <c r="F16" s="5" t="s">
        <v>49</v>
      </c>
      <c r="G16" s="5" t="s">
        <v>102</v>
      </c>
      <c r="H16" s="5" t="s">
        <v>103</v>
      </c>
      <c r="I16" s="5" t="s">
        <v>31</v>
      </c>
      <c r="J16" s="5" t="s">
        <v>24</v>
      </c>
      <c r="K16" s="6" t="str">
        <f t="shared" si="1"/>
        <v>08116681815</v>
      </c>
      <c r="L16" s="6" t="str">
        <f>IFERROR(
VLOOKUP(
TRIM(
IF(ISNUMBER(FIND(",",E16)),
LEFT(E16,FIND(",",E16)-1),
E16
)
),
master!A:B,
2,
FALSE
),
"Belum ada mapping"
)
</f>
        <v>Sumatera Barat</v>
      </c>
      <c r="M16" s="6">
        <f>IFERROR(__xludf.DUMMYFUNCTION("IF(REGEXMATCH(I16,""Cari Kerja""),1,0)
"),1.0)</f>
        <v>1</v>
      </c>
      <c r="N16" s="6">
        <f>IFERROR(__xludf.DUMMYFUNCTION("IF(REGEXMATCH(I16,""Upskill""),1,0)
"),1.0)</f>
        <v>1</v>
      </c>
      <c r="O16" s="6">
        <f>IFERROR(__xludf.DUMMYFUNCTION("IF(REGEXMATCH(I16,""Networking""),1,0)
"),1.0)</f>
        <v>1</v>
      </c>
      <c r="P16" s="6">
        <f>IFERROR(__xludf.DUMMYFUNCTION("IF(REGEXMATCH(I16,""Switch Career""),1,0)
"),1.0)</f>
        <v>1</v>
      </c>
    </row>
    <row r="17" ht="22.5" customHeight="1">
      <c r="A17" s="3">
        <v>46042.40829511574</v>
      </c>
      <c r="B17" s="5" t="s">
        <v>104</v>
      </c>
      <c r="C17" s="5" t="s">
        <v>105</v>
      </c>
      <c r="D17" s="4" t="s">
        <v>106</v>
      </c>
      <c r="E17" s="5" t="s">
        <v>107</v>
      </c>
      <c r="F17" s="5" t="s">
        <v>49</v>
      </c>
      <c r="G17" s="5" t="s">
        <v>108</v>
      </c>
      <c r="H17" s="5" t="s">
        <v>37</v>
      </c>
      <c r="I17" s="5" t="s">
        <v>109</v>
      </c>
      <c r="J17" s="5" t="s">
        <v>38</v>
      </c>
      <c r="K17" s="6" t="str">
        <f t="shared" si="1"/>
        <v>081803539087</v>
      </c>
      <c r="L17" s="6" t="str">
        <f>IFERROR(
VLOOKUP(
TRIM(
IF(ISNUMBER(FIND(",",E17)),
LEFT(E17,FIND(",",E17)-1),
E17
)
),
master!A:B,
2,
FALSE
),
"Belum ada mapping"
)
</f>
        <v>Jawa Barat</v>
      </c>
      <c r="M17" s="6">
        <f>IFERROR(__xludf.DUMMYFUNCTION("IF(REGEXMATCH(I17,""Cari Kerja""),1,0)
"),1.0)</f>
        <v>1</v>
      </c>
      <c r="N17" s="6">
        <f>IFERROR(__xludf.DUMMYFUNCTION("IF(REGEXMATCH(I17,""Upskill""),1,0)
"),0.0)</f>
        <v>0</v>
      </c>
      <c r="O17" s="6">
        <f>IFERROR(__xludf.DUMMYFUNCTION("IF(REGEXMATCH(I17,""Networking""),1,0)
"),1.0)</f>
        <v>1</v>
      </c>
      <c r="P17" s="6">
        <f>IFERROR(__xludf.DUMMYFUNCTION("IF(REGEXMATCH(I17,""Switch Career""),1,0)
"),0.0)</f>
        <v>0</v>
      </c>
    </row>
    <row r="18" ht="22.5" customHeight="1">
      <c r="A18" s="7">
        <v>46040.50609372686</v>
      </c>
      <c r="B18" s="8" t="s">
        <v>110</v>
      </c>
      <c r="C18" s="8" t="s">
        <v>111</v>
      </c>
      <c r="D18" s="9" t="s">
        <v>112</v>
      </c>
      <c r="E18" s="8" t="s">
        <v>113</v>
      </c>
      <c r="F18" s="8" t="s">
        <v>49</v>
      </c>
      <c r="G18" s="8" t="s">
        <v>114</v>
      </c>
      <c r="H18" s="8" t="s">
        <v>51</v>
      </c>
      <c r="I18" s="8" t="s">
        <v>31</v>
      </c>
      <c r="J18" s="8" t="s">
        <v>24</v>
      </c>
      <c r="K18" s="6" t="str">
        <f t="shared" si="1"/>
        <v>085372235592</v>
      </c>
      <c r="L18" s="6" t="str">
        <f>IFERROR(
VLOOKUP(
TRIM(
IF(ISNUMBER(FIND(",",E18)),
LEFT(E18,FIND(",",E18)-1),
E18
)
),
master!A:B,
2,
FALSE
),
"Belum ada mapping"
)
</f>
        <v>Sumatera Utara</v>
      </c>
      <c r="M18" s="6">
        <f>IFERROR(__xludf.DUMMYFUNCTION("IF(REGEXMATCH(I18,""Cari Kerja""),1,0)
"),1.0)</f>
        <v>1</v>
      </c>
      <c r="N18" s="6">
        <f>IFERROR(__xludf.DUMMYFUNCTION("IF(REGEXMATCH(I18,""Upskill""),1,0)
"),1.0)</f>
        <v>1</v>
      </c>
      <c r="O18" s="6">
        <f>IFERROR(__xludf.DUMMYFUNCTION("IF(REGEXMATCH(I18,""Networking""),1,0)
"),1.0)</f>
        <v>1</v>
      </c>
      <c r="P18" s="6">
        <f>IFERROR(__xludf.DUMMYFUNCTION("IF(REGEXMATCH(I18,""Switch Career""),1,0)
"),1.0)</f>
        <v>1</v>
      </c>
    </row>
    <row r="19" ht="22.5" customHeight="1">
      <c r="A19" s="3">
        <v>46042.53134134259</v>
      </c>
      <c r="B19" s="5" t="s">
        <v>115</v>
      </c>
      <c r="C19" s="5" t="s">
        <v>116</v>
      </c>
      <c r="D19" s="4" t="s">
        <v>117</v>
      </c>
      <c r="E19" s="5" t="s">
        <v>118</v>
      </c>
      <c r="F19" s="5" t="s">
        <v>20</v>
      </c>
      <c r="G19" s="5" t="s">
        <v>21</v>
      </c>
      <c r="H19" s="5" t="s">
        <v>93</v>
      </c>
      <c r="I19" s="5" t="s">
        <v>23</v>
      </c>
      <c r="J19" s="5" t="s">
        <v>24</v>
      </c>
      <c r="K19" s="6" t="str">
        <f t="shared" si="1"/>
        <v>088989430679</v>
      </c>
      <c r="L19" s="6" t="str">
        <f>IFERROR(
VLOOKUP(
TRIM(
IF(ISNUMBER(FIND(",",E19)),
LEFT(E19,FIND(",",E19)-1),
E19
)
),
master!A:B,
2,
FALSE
),
"Belum ada mapping"
)
</f>
        <v>Jawa Timur</v>
      </c>
      <c r="M19" s="6">
        <f>IFERROR(__xludf.DUMMYFUNCTION("IF(REGEXMATCH(I19,""Cari Kerja""),1,0)
"),1.0)</f>
        <v>1</v>
      </c>
      <c r="N19" s="6">
        <f>IFERROR(__xludf.DUMMYFUNCTION("IF(REGEXMATCH(I19,""Upskill""),1,0)
"),1.0)</f>
        <v>1</v>
      </c>
      <c r="O19" s="6">
        <f>IFERROR(__xludf.DUMMYFUNCTION("IF(REGEXMATCH(I19,""Networking""),1,0)
"),1.0)</f>
        <v>1</v>
      </c>
      <c r="P19" s="6">
        <f>IFERROR(__xludf.DUMMYFUNCTION("IF(REGEXMATCH(I19,""Switch Career""),1,0)
"),0.0)</f>
        <v>0</v>
      </c>
    </row>
    <row r="20" ht="22.5" customHeight="1">
      <c r="A20" s="3">
        <v>46043.383012453705</v>
      </c>
      <c r="B20" s="5" t="s">
        <v>119</v>
      </c>
      <c r="C20" s="5" t="s">
        <v>120</v>
      </c>
      <c r="D20" s="4" t="s">
        <v>121</v>
      </c>
      <c r="E20" s="5" t="s">
        <v>122</v>
      </c>
      <c r="F20" s="5" t="s">
        <v>20</v>
      </c>
      <c r="G20" s="5" t="s">
        <v>123</v>
      </c>
      <c r="H20" s="5" t="s">
        <v>51</v>
      </c>
      <c r="I20" s="5" t="s">
        <v>23</v>
      </c>
      <c r="J20" s="5" t="s">
        <v>24</v>
      </c>
      <c r="K20" s="6" t="str">
        <f t="shared" si="1"/>
        <v>085256392566</v>
      </c>
      <c r="L20" s="6" t="str">
        <f>IFERROR(
VLOOKUP(
TRIM(
IF(ISNUMBER(FIND(",",E20)),
LEFT(E20,FIND(",",E20)-1),
E20
)
),
master!A:B,
2,
FALSE
),
"Belum ada mapping"
)
</f>
        <v>Sulawesi Selatan</v>
      </c>
      <c r="M20" s="6">
        <f>IFERROR(__xludf.DUMMYFUNCTION("IF(REGEXMATCH(I20,""Cari Kerja""),1,0)
"),1.0)</f>
        <v>1</v>
      </c>
      <c r="N20" s="6">
        <f>IFERROR(__xludf.DUMMYFUNCTION("IF(REGEXMATCH(I20,""Upskill""),1,0)
"),1.0)</f>
        <v>1</v>
      </c>
      <c r="O20" s="6">
        <f>IFERROR(__xludf.DUMMYFUNCTION("IF(REGEXMATCH(I20,""Networking""),1,0)
"),1.0)</f>
        <v>1</v>
      </c>
      <c r="P20" s="6">
        <f>IFERROR(__xludf.DUMMYFUNCTION("IF(REGEXMATCH(I20,""Switch Career""),1,0)
"),0.0)</f>
        <v>0</v>
      </c>
    </row>
    <row r="21" ht="22.5" customHeight="1">
      <c r="A21" s="3">
        <v>46042.29229486111</v>
      </c>
      <c r="B21" s="5" t="s">
        <v>124</v>
      </c>
      <c r="C21" s="5" t="s">
        <v>125</v>
      </c>
      <c r="D21" s="4" t="s">
        <v>126</v>
      </c>
      <c r="E21" s="5" t="s">
        <v>127</v>
      </c>
      <c r="F21" s="5" t="s">
        <v>20</v>
      </c>
      <c r="G21" s="5" t="s">
        <v>128</v>
      </c>
      <c r="H21" s="5" t="s">
        <v>129</v>
      </c>
      <c r="I21" s="5" t="s">
        <v>130</v>
      </c>
      <c r="J21" s="5" t="s">
        <v>24</v>
      </c>
      <c r="K21" s="6" t="str">
        <f t="shared" si="1"/>
        <v>081221196013</v>
      </c>
      <c r="L21" s="6" t="str">
        <f>IFERROR(
VLOOKUP(
TRIM(
IF(ISNUMBER(FIND(",",E21)),
LEFT(E21,FIND(",",E21)-1),
E21
)
),
master!A:B,
2,
FALSE
),
"Belum ada mapping"
)
</f>
        <v>Jawa Barat</v>
      </c>
      <c r="M21" s="6">
        <f>IFERROR(__xludf.DUMMYFUNCTION("IF(REGEXMATCH(I21,""Cari Kerja""),1,0)
"),1.0)</f>
        <v>1</v>
      </c>
      <c r="N21" s="6">
        <f>IFERROR(__xludf.DUMMYFUNCTION("IF(REGEXMATCH(I21,""Upskill""),1,0)
"),1.0)</f>
        <v>1</v>
      </c>
      <c r="O21" s="6">
        <f>IFERROR(__xludf.DUMMYFUNCTION("IF(REGEXMATCH(I21,""Networking""),1,0)
"),0.0)</f>
        <v>0</v>
      </c>
      <c r="P21" s="6">
        <f>IFERROR(__xludf.DUMMYFUNCTION("IF(REGEXMATCH(I21,""Switch Career""),1,0)
"),0.0)</f>
        <v>0</v>
      </c>
    </row>
    <row r="22" ht="22.5" customHeight="1">
      <c r="A22" s="3">
        <v>46046.609807256944</v>
      </c>
      <c r="B22" s="5" t="s">
        <v>131</v>
      </c>
      <c r="C22" s="5" t="s">
        <v>132</v>
      </c>
      <c r="D22" s="4" t="s">
        <v>133</v>
      </c>
      <c r="E22" s="5" t="s">
        <v>134</v>
      </c>
      <c r="F22" s="5" t="s">
        <v>20</v>
      </c>
      <c r="G22" s="5" t="s">
        <v>135</v>
      </c>
      <c r="H22" s="5" t="s">
        <v>136</v>
      </c>
      <c r="I22" s="5" t="s">
        <v>130</v>
      </c>
      <c r="J22" s="5" t="s">
        <v>24</v>
      </c>
      <c r="K22" s="6" t="str">
        <f t="shared" si="1"/>
        <v>089524739800</v>
      </c>
      <c r="L22" s="6" t="str">
        <f>IFERROR(
VLOOKUP(
TRIM(
IF(ISNUMBER(FIND(",",E22)),
LEFT(E22,FIND(",",E22)-1),
E22
)
),
master!A:B,
2,
FALSE
),
"Belum ada mapping"
)
</f>
        <v>Jawa Barat</v>
      </c>
      <c r="M22" s="6">
        <f>IFERROR(__xludf.DUMMYFUNCTION("IF(REGEXMATCH(I22,""Cari Kerja""),1,0)
"),1.0)</f>
        <v>1</v>
      </c>
      <c r="N22" s="6">
        <f>IFERROR(__xludf.DUMMYFUNCTION("IF(REGEXMATCH(I22,""Upskill""),1,0)
"),1.0)</f>
        <v>1</v>
      </c>
      <c r="O22" s="6">
        <f>IFERROR(__xludf.DUMMYFUNCTION("IF(REGEXMATCH(I22,""Networking""),1,0)
"),0.0)</f>
        <v>0</v>
      </c>
      <c r="P22" s="6">
        <f>IFERROR(__xludf.DUMMYFUNCTION("IF(REGEXMATCH(I22,""Switch Career""),1,0)
"),0.0)</f>
        <v>0</v>
      </c>
    </row>
    <row r="23" ht="22.5" customHeight="1">
      <c r="A23" s="7">
        <v>46040.486768726856</v>
      </c>
      <c r="B23" s="8" t="s">
        <v>137</v>
      </c>
      <c r="C23" s="8" t="s">
        <v>138</v>
      </c>
      <c r="D23" s="9" t="s">
        <v>139</v>
      </c>
      <c r="E23" s="8" t="s">
        <v>92</v>
      </c>
      <c r="F23" s="8" t="s">
        <v>49</v>
      </c>
      <c r="G23" s="8" t="s">
        <v>140</v>
      </c>
      <c r="H23" s="8" t="s">
        <v>51</v>
      </c>
      <c r="I23" s="8" t="s">
        <v>52</v>
      </c>
      <c r="J23" s="8" t="s">
        <v>76</v>
      </c>
      <c r="K23" s="6" t="str">
        <f t="shared" si="1"/>
        <v>08119255511</v>
      </c>
      <c r="L23" s="6" t="str">
        <f>IFERROR(
VLOOKUP(
TRIM(
IF(ISNUMBER(FIND(",",E23)),
LEFT(E23,FIND(",",E23)-1),
E23
)
),
master!A:B,
2,
FALSE
),
"Belum ada mapping"
)
</f>
        <v>Jawa Barat</v>
      </c>
      <c r="M23" s="6">
        <f>IFERROR(__xludf.DUMMYFUNCTION("IF(REGEXMATCH(I23,""Cari Kerja""),1,0)
"),0.0)</f>
        <v>0</v>
      </c>
      <c r="N23" s="6">
        <f>IFERROR(__xludf.DUMMYFUNCTION("IF(REGEXMATCH(I23,""Upskill""),1,0)
"),1.0)</f>
        <v>1</v>
      </c>
      <c r="O23" s="6">
        <f>IFERROR(__xludf.DUMMYFUNCTION("IF(REGEXMATCH(I23,""Networking""),1,0)
"),1.0)</f>
        <v>1</v>
      </c>
      <c r="P23" s="6">
        <f>IFERROR(__xludf.DUMMYFUNCTION("IF(REGEXMATCH(I23,""Switch Career""),1,0)
"),1.0)</f>
        <v>1</v>
      </c>
    </row>
    <row r="24" ht="22.5" customHeight="1">
      <c r="A24" s="3">
        <v>46042.51657931713</v>
      </c>
      <c r="B24" s="5" t="s">
        <v>141</v>
      </c>
      <c r="C24" s="5" t="s">
        <v>142</v>
      </c>
      <c r="D24" s="4" t="s">
        <v>143</v>
      </c>
      <c r="E24" s="5" t="s">
        <v>74</v>
      </c>
      <c r="F24" s="5" t="s">
        <v>20</v>
      </c>
      <c r="G24" s="5" t="s">
        <v>144</v>
      </c>
      <c r="H24" s="5" t="s">
        <v>51</v>
      </c>
      <c r="I24" s="5" t="s">
        <v>59</v>
      </c>
      <c r="J24" s="5" t="s">
        <v>24</v>
      </c>
      <c r="K24" s="6" t="str">
        <f t="shared" si="1"/>
        <v>081356910981</v>
      </c>
      <c r="L24" s="6" t="str">
        <f>IFERROR(
VLOOKUP(
TRIM(
IF(ISNUMBER(FIND(",",E24)),
LEFT(E24,FIND(",",E24)-1),
E24
)
),
master!A:B,
2,
FALSE
),
"Belum ada mapping"
)
</f>
        <v>Banten</v>
      </c>
      <c r="M24" s="6">
        <f>IFERROR(__xludf.DUMMYFUNCTION("IF(REGEXMATCH(I24,""Cari Kerja""),1,0)
"),0.0)</f>
        <v>0</v>
      </c>
      <c r="N24" s="6">
        <f>IFERROR(__xludf.DUMMYFUNCTION("IF(REGEXMATCH(I24,""Upskill""),1,0)
"),1.0)</f>
        <v>1</v>
      </c>
      <c r="O24" s="6">
        <f>IFERROR(__xludf.DUMMYFUNCTION("IF(REGEXMATCH(I24,""Networking""),1,0)
"),1.0)</f>
        <v>1</v>
      </c>
      <c r="P24" s="6">
        <f>IFERROR(__xludf.DUMMYFUNCTION("IF(REGEXMATCH(I24,""Switch Career""),1,0)
"),0.0)</f>
        <v>0</v>
      </c>
    </row>
    <row r="25" ht="22.5" customHeight="1">
      <c r="A25" s="7">
        <v>46040.49639141204</v>
      </c>
      <c r="B25" s="8" t="s">
        <v>145</v>
      </c>
      <c r="C25" s="8" t="s">
        <v>146</v>
      </c>
      <c r="D25" s="9" t="s">
        <v>147</v>
      </c>
      <c r="E25" s="8" t="s">
        <v>148</v>
      </c>
      <c r="F25" s="8" t="s">
        <v>49</v>
      </c>
      <c r="G25" s="8" t="s">
        <v>149</v>
      </c>
      <c r="H25" s="8" t="s">
        <v>93</v>
      </c>
      <c r="I25" s="8" t="s">
        <v>13</v>
      </c>
      <c r="J25" s="8" t="s">
        <v>24</v>
      </c>
      <c r="K25" s="6" t="str">
        <f t="shared" si="1"/>
        <v>081316016661</v>
      </c>
      <c r="L25" s="6" t="str">
        <f>IFERROR(
VLOOKUP(
TRIM(
IF(ISNUMBER(FIND(",",E25)),
LEFT(E25,FIND(",",E25)-1),
E25
)
),
master!A:B,
2,
FALSE
),
"Belum ada mapping"
)
</f>
        <v>Riau</v>
      </c>
      <c r="M25" s="6">
        <f>IFERROR(__xludf.DUMMYFUNCTION("IF(REGEXMATCH(I25,""Cari Kerja""),1,0)
"),0.0)</f>
        <v>0</v>
      </c>
      <c r="N25" s="6">
        <f>IFERROR(__xludf.DUMMYFUNCTION("IF(REGEXMATCH(I25,""Upskill""),1,0)
"),1.0)</f>
        <v>1</v>
      </c>
      <c r="O25" s="6">
        <f>IFERROR(__xludf.DUMMYFUNCTION("IF(REGEXMATCH(I25,""Networking""),1,0)
"),0.0)</f>
        <v>0</v>
      </c>
      <c r="P25" s="6">
        <f>IFERROR(__xludf.DUMMYFUNCTION("IF(REGEXMATCH(I25,""Switch Career""),1,0)
"),0.0)</f>
        <v>0</v>
      </c>
    </row>
    <row r="26" ht="22.5" customHeight="1">
      <c r="A26" s="3">
        <v>46046.348457395834</v>
      </c>
      <c r="B26" s="5" t="s">
        <v>145</v>
      </c>
      <c r="C26" s="5" t="s">
        <v>146</v>
      </c>
      <c r="D26" s="4" t="s">
        <v>147</v>
      </c>
      <c r="E26" s="5" t="s">
        <v>148</v>
      </c>
      <c r="F26" s="5" t="s">
        <v>49</v>
      </c>
      <c r="G26" s="5" t="s">
        <v>150</v>
      </c>
      <c r="H26" s="5" t="s">
        <v>93</v>
      </c>
      <c r="I26" s="5" t="s">
        <v>13</v>
      </c>
      <c r="J26" s="5" t="s">
        <v>24</v>
      </c>
      <c r="K26" s="6" t="str">
        <f t="shared" si="1"/>
        <v>081316016661</v>
      </c>
      <c r="L26" s="6" t="str">
        <f>IFERROR(
VLOOKUP(
TRIM(
IF(ISNUMBER(FIND(",",E26)),
LEFT(E26,FIND(",",E26)-1),
E26
)
),
master!A:B,
2,
FALSE
),
"Belum ada mapping"
)
</f>
        <v>Riau</v>
      </c>
      <c r="M26" s="6">
        <f>IFERROR(__xludf.DUMMYFUNCTION("IF(REGEXMATCH(I26,""Cari Kerja""),1,0)
"),0.0)</f>
        <v>0</v>
      </c>
      <c r="N26" s="6">
        <f>IFERROR(__xludf.DUMMYFUNCTION("IF(REGEXMATCH(I26,""Upskill""),1,0)
"),1.0)</f>
        <v>1</v>
      </c>
      <c r="O26" s="6">
        <f>IFERROR(__xludf.DUMMYFUNCTION("IF(REGEXMATCH(I26,""Networking""),1,0)
"),0.0)</f>
        <v>0</v>
      </c>
      <c r="P26" s="6">
        <f>IFERROR(__xludf.DUMMYFUNCTION("IF(REGEXMATCH(I26,""Switch Career""),1,0)
"),0.0)</f>
        <v>0</v>
      </c>
    </row>
    <row r="27" ht="22.5" customHeight="1">
      <c r="A27" s="3">
        <v>46122.54146636574</v>
      </c>
      <c r="B27" s="5" t="s">
        <v>145</v>
      </c>
      <c r="C27" s="5" t="s">
        <v>146</v>
      </c>
      <c r="D27" s="4" t="s">
        <v>147</v>
      </c>
      <c r="E27" s="5" t="s">
        <v>151</v>
      </c>
      <c r="F27" s="5" t="s">
        <v>49</v>
      </c>
      <c r="G27" s="5" t="s">
        <v>152</v>
      </c>
      <c r="H27" s="5" t="s">
        <v>153</v>
      </c>
      <c r="I27" s="5" t="s">
        <v>154</v>
      </c>
      <c r="J27" s="5" t="s">
        <v>24</v>
      </c>
      <c r="K27" s="10" t="str">
        <f t="shared" si="1"/>
        <v>081316016661</v>
      </c>
      <c r="L27" s="10" t="str">
        <f>IFERROR(
VLOOKUP(
TRIM(
IF(ISNUMBER(FIND(",",E27)),
LEFT(E27,FIND(",",E27)-1),
E27
)
),
master!A:B,
2,
FALSE
),
"Belum ada mapping"
)
</f>
        <v>Riau</v>
      </c>
      <c r="M27" s="10">
        <f>IFERROR(__xludf.DUMMYFUNCTION("IF(REGEXMATCH(I27,""Cari Kerja""),1,0)
"),0.0)</f>
        <v>0</v>
      </c>
      <c r="N27" s="10">
        <f>IFERROR(__xludf.DUMMYFUNCTION("IF(REGEXMATCH(I27,""Upskill""),1,0)
"),1.0)</f>
        <v>1</v>
      </c>
      <c r="O27" s="10">
        <f>IFERROR(__xludf.DUMMYFUNCTION("IF(REGEXMATCH(I27,""Networking""),1,0)
"),0.0)</f>
        <v>0</v>
      </c>
      <c r="P27" s="10">
        <f>IFERROR(__xludf.DUMMYFUNCTION("IF(REGEXMATCH(I27,""Switch Career""),1,0)
"),1.0)</f>
        <v>1</v>
      </c>
    </row>
    <row r="28" ht="22.5" customHeight="1">
      <c r="A28" s="7">
        <v>46040.42088655093</v>
      </c>
      <c r="B28" s="8" t="s">
        <v>155</v>
      </c>
      <c r="C28" s="8" t="s">
        <v>156</v>
      </c>
      <c r="D28" s="9" t="s">
        <v>157</v>
      </c>
      <c r="E28" s="8" t="s">
        <v>158</v>
      </c>
      <c r="F28" s="8" t="s">
        <v>20</v>
      </c>
      <c r="G28" s="8" t="s">
        <v>159</v>
      </c>
      <c r="H28" s="8" t="s">
        <v>160</v>
      </c>
      <c r="I28" s="8" t="s">
        <v>31</v>
      </c>
      <c r="J28" s="8" t="s">
        <v>24</v>
      </c>
      <c r="K28" s="6" t="str">
        <f t="shared" si="1"/>
        <v>0881025319045</v>
      </c>
      <c r="L28" s="6" t="str">
        <f>IFERROR(
VLOOKUP(
TRIM(
IF(ISNUMBER(FIND(",",E28)),
LEFT(E28,FIND(",",E28)-1),
E28
)
),
master!A:B,
2,
FALSE
),
"Belum ada mapping"
)
</f>
        <v>Jawa Barat</v>
      </c>
      <c r="M28" s="6">
        <f>IFERROR(__xludf.DUMMYFUNCTION("IF(REGEXMATCH(I28,""Cari Kerja""),1,0)
"),1.0)</f>
        <v>1</v>
      </c>
      <c r="N28" s="6">
        <f>IFERROR(__xludf.DUMMYFUNCTION("IF(REGEXMATCH(I28,""Upskill""),1,0)
"),1.0)</f>
        <v>1</v>
      </c>
      <c r="O28" s="6">
        <f>IFERROR(__xludf.DUMMYFUNCTION("IF(REGEXMATCH(I28,""Networking""),1,0)
"),1.0)</f>
        <v>1</v>
      </c>
      <c r="P28" s="6">
        <f>IFERROR(__xludf.DUMMYFUNCTION("IF(REGEXMATCH(I28,""Switch Career""),1,0)
"),1.0)</f>
        <v>1</v>
      </c>
    </row>
    <row r="29" ht="22.5" customHeight="1">
      <c r="A29" s="3">
        <v>46043.96069965277</v>
      </c>
      <c r="B29" s="5" t="s">
        <v>161</v>
      </c>
      <c r="C29" s="5" t="s">
        <v>162</v>
      </c>
      <c r="D29" s="4" t="s">
        <v>163</v>
      </c>
      <c r="E29" s="5" t="s">
        <v>164</v>
      </c>
      <c r="F29" s="5" t="s">
        <v>20</v>
      </c>
      <c r="G29" s="5" t="s">
        <v>69</v>
      </c>
      <c r="H29" s="5" t="s">
        <v>165</v>
      </c>
      <c r="I29" s="5" t="s">
        <v>23</v>
      </c>
      <c r="J29" s="5" t="s">
        <v>24</v>
      </c>
      <c r="K29" s="6" t="str">
        <f t="shared" si="1"/>
        <v>085641737295</v>
      </c>
      <c r="L29" s="6" t="str">
        <f>IFERROR(
VLOOKUP(
TRIM(
IF(ISNUMBER(FIND(",",E29)),
LEFT(E29,FIND(",",E29)-1),
E29
)
),
master!A:B,
2,
FALSE
),
"Belum ada mapping"
)
</f>
        <v>Jawa Tengah</v>
      </c>
      <c r="M29" s="6">
        <f>IFERROR(__xludf.DUMMYFUNCTION("IF(REGEXMATCH(I29,""Cari Kerja""),1,0)
"),1.0)</f>
        <v>1</v>
      </c>
      <c r="N29" s="6">
        <f>IFERROR(__xludf.DUMMYFUNCTION("IF(REGEXMATCH(I29,""Upskill""),1,0)
"),1.0)</f>
        <v>1</v>
      </c>
      <c r="O29" s="6">
        <f>IFERROR(__xludf.DUMMYFUNCTION("IF(REGEXMATCH(I29,""Networking""),1,0)
"),1.0)</f>
        <v>1</v>
      </c>
      <c r="P29" s="6">
        <f>IFERROR(__xludf.DUMMYFUNCTION("IF(REGEXMATCH(I29,""Switch Career""),1,0)
"),0.0)</f>
        <v>0</v>
      </c>
    </row>
    <row r="30" ht="22.5" customHeight="1">
      <c r="A30" s="3">
        <v>46045.845266018514</v>
      </c>
      <c r="B30" s="5" t="s">
        <v>166</v>
      </c>
      <c r="C30" s="5" t="s">
        <v>167</v>
      </c>
      <c r="D30" s="4" t="s">
        <v>168</v>
      </c>
      <c r="E30" s="5" t="s">
        <v>113</v>
      </c>
      <c r="F30" s="5" t="s">
        <v>20</v>
      </c>
      <c r="G30" s="5" t="s">
        <v>169</v>
      </c>
      <c r="H30" s="5" t="s">
        <v>170</v>
      </c>
      <c r="I30" s="5" t="s">
        <v>12</v>
      </c>
      <c r="J30" s="5" t="s">
        <v>24</v>
      </c>
      <c r="K30" s="6" t="str">
        <f t="shared" si="1"/>
        <v>082184471311</v>
      </c>
      <c r="L30" s="6" t="str">
        <f>IFERROR(
VLOOKUP(
TRIM(
IF(ISNUMBER(FIND(",",E30)),
LEFT(E30,FIND(",",E30)-1),
E30
)
),
master!A:B,
2,
FALSE
),
"Belum ada mapping"
)
</f>
        <v>Sumatera Utara</v>
      </c>
      <c r="M30" s="6">
        <f>IFERROR(__xludf.DUMMYFUNCTION("IF(REGEXMATCH(I30,""Cari Kerja""),1,0)
"),1.0)</f>
        <v>1</v>
      </c>
      <c r="N30" s="6">
        <f>IFERROR(__xludf.DUMMYFUNCTION("IF(REGEXMATCH(I30,""Upskill""),1,0)
"),0.0)</f>
        <v>0</v>
      </c>
      <c r="O30" s="6">
        <f>IFERROR(__xludf.DUMMYFUNCTION("IF(REGEXMATCH(I30,""Networking""),1,0)
"),0.0)</f>
        <v>0</v>
      </c>
      <c r="P30" s="6">
        <f>IFERROR(__xludf.DUMMYFUNCTION("IF(REGEXMATCH(I30,""Switch Career""),1,0)
"),0.0)</f>
        <v>0</v>
      </c>
    </row>
    <row r="31" ht="22.5" customHeight="1">
      <c r="A31" s="3">
        <v>46047.028875613425</v>
      </c>
      <c r="B31" s="5" t="s">
        <v>171</v>
      </c>
      <c r="C31" s="5" t="s">
        <v>172</v>
      </c>
      <c r="D31" s="4" t="s">
        <v>173</v>
      </c>
      <c r="E31" s="5" t="s">
        <v>174</v>
      </c>
      <c r="F31" s="5" t="s">
        <v>49</v>
      </c>
      <c r="G31" s="5" t="s">
        <v>175</v>
      </c>
      <c r="H31" s="5" t="s">
        <v>176</v>
      </c>
      <c r="I31" s="5" t="s">
        <v>31</v>
      </c>
      <c r="J31" s="5" t="s">
        <v>24</v>
      </c>
      <c r="K31" s="6" t="str">
        <f t="shared" si="1"/>
        <v>081228618111</v>
      </c>
      <c r="L31" s="6" t="str">
        <f>IFERROR(
VLOOKUP(
TRIM(
IF(ISNUMBER(FIND(",",E31)),
LEFT(E31,FIND(",",E31)-1),
E31
)
),
master!A:B,
2,
FALSE
),
"Belum ada mapping"
)
</f>
        <v>Jawa Timur</v>
      </c>
      <c r="M31" s="6">
        <f>IFERROR(__xludf.DUMMYFUNCTION("IF(REGEXMATCH(I31,""Cari Kerja""),1,0)
"),1.0)</f>
        <v>1</v>
      </c>
      <c r="N31" s="6">
        <f>IFERROR(__xludf.DUMMYFUNCTION("IF(REGEXMATCH(I31,""Upskill""),1,0)
"),1.0)</f>
        <v>1</v>
      </c>
      <c r="O31" s="6">
        <f>IFERROR(__xludf.DUMMYFUNCTION("IF(REGEXMATCH(I31,""Networking""),1,0)
"),1.0)</f>
        <v>1</v>
      </c>
      <c r="P31" s="6">
        <f>IFERROR(__xludf.DUMMYFUNCTION("IF(REGEXMATCH(I31,""Switch Career""),1,0)
"),1.0)</f>
        <v>1</v>
      </c>
    </row>
    <row r="32" ht="22.5" customHeight="1">
      <c r="A32" s="3">
        <v>46042.243970358795</v>
      </c>
      <c r="B32" s="5" t="s">
        <v>177</v>
      </c>
      <c r="C32" s="5" t="s">
        <v>178</v>
      </c>
      <c r="D32" s="4" t="s">
        <v>179</v>
      </c>
      <c r="E32" s="5" t="s">
        <v>92</v>
      </c>
      <c r="F32" s="5" t="s">
        <v>20</v>
      </c>
      <c r="G32" s="5" t="s">
        <v>180</v>
      </c>
      <c r="H32" s="5" t="s">
        <v>181</v>
      </c>
      <c r="I32" s="5" t="s">
        <v>31</v>
      </c>
      <c r="J32" s="5" t="s">
        <v>24</v>
      </c>
      <c r="K32" s="6" t="str">
        <f t="shared" si="1"/>
        <v>0895415890030</v>
      </c>
      <c r="L32" s="6" t="str">
        <f>IFERROR(
VLOOKUP(
TRIM(
IF(ISNUMBER(FIND(",",E32)),
LEFT(E32,FIND(",",E32)-1),
E32
)
),
master!A:B,
2,
FALSE
),
"Belum ada mapping"
)
</f>
        <v>Jawa Barat</v>
      </c>
      <c r="M32" s="6">
        <f>IFERROR(__xludf.DUMMYFUNCTION("IF(REGEXMATCH(I32,""Cari Kerja""),1,0)
"),1.0)</f>
        <v>1</v>
      </c>
      <c r="N32" s="6">
        <f>IFERROR(__xludf.DUMMYFUNCTION("IF(REGEXMATCH(I32,""Upskill""),1,0)
"),1.0)</f>
        <v>1</v>
      </c>
      <c r="O32" s="6">
        <f>IFERROR(__xludf.DUMMYFUNCTION("IF(REGEXMATCH(I32,""Networking""),1,0)
"),1.0)</f>
        <v>1</v>
      </c>
      <c r="P32" s="6">
        <f>IFERROR(__xludf.DUMMYFUNCTION("IF(REGEXMATCH(I32,""Switch Career""),1,0)
"),1.0)</f>
        <v>1</v>
      </c>
    </row>
    <row r="33" ht="22.5" customHeight="1">
      <c r="A33" s="3">
        <v>46046.389232222224</v>
      </c>
      <c r="B33" s="5" t="s">
        <v>182</v>
      </c>
      <c r="C33" s="5" t="s">
        <v>183</v>
      </c>
      <c r="D33" s="4" t="s">
        <v>184</v>
      </c>
      <c r="E33" s="5" t="s">
        <v>185</v>
      </c>
      <c r="F33" s="5" t="s">
        <v>49</v>
      </c>
      <c r="G33" s="5" t="s">
        <v>186</v>
      </c>
      <c r="H33" s="5" t="s">
        <v>187</v>
      </c>
      <c r="I33" s="5" t="s">
        <v>31</v>
      </c>
      <c r="J33" s="5" t="s">
        <v>38</v>
      </c>
      <c r="K33" s="6" t="str">
        <f t="shared" si="1"/>
        <v>085117531509</v>
      </c>
      <c r="L33" s="6" t="str">
        <f>IFERROR(
VLOOKUP(
TRIM(
IF(ISNUMBER(FIND(",",E33)),
LEFT(E33,FIND(",",E33)-1),
E33
)
),
master!A:B,
2,
FALSE
),
"Belum ada mapping"
)
</f>
        <v>Jakarta</v>
      </c>
      <c r="M33" s="6">
        <f>IFERROR(__xludf.DUMMYFUNCTION("IF(REGEXMATCH(I33,""Cari Kerja""),1,0)
"),1.0)</f>
        <v>1</v>
      </c>
      <c r="N33" s="6">
        <f>IFERROR(__xludf.DUMMYFUNCTION("IF(REGEXMATCH(I33,""Upskill""),1,0)
"),1.0)</f>
        <v>1</v>
      </c>
      <c r="O33" s="6">
        <f>IFERROR(__xludf.DUMMYFUNCTION("IF(REGEXMATCH(I33,""Networking""),1,0)
"),1.0)</f>
        <v>1</v>
      </c>
      <c r="P33" s="6">
        <f>IFERROR(__xludf.DUMMYFUNCTION("IF(REGEXMATCH(I33,""Switch Career""),1,0)
"),1.0)</f>
        <v>1</v>
      </c>
    </row>
    <row r="34" ht="22.5" customHeight="1">
      <c r="A34" s="3">
        <v>46042.30107560185</v>
      </c>
      <c r="B34" s="5" t="s">
        <v>188</v>
      </c>
      <c r="C34" s="5" t="s">
        <v>189</v>
      </c>
      <c r="D34" s="4" t="s">
        <v>190</v>
      </c>
      <c r="E34" s="5" t="s">
        <v>191</v>
      </c>
      <c r="F34" s="5" t="s">
        <v>49</v>
      </c>
      <c r="G34" s="5" t="s">
        <v>192</v>
      </c>
      <c r="H34" s="5" t="s">
        <v>193</v>
      </c>
      <c r="I34" s="5" t="s">
        <v>13</v>
      </c>
      <c r="J34" s="5" t="s">
        <v>24</v>
      </c>
      <c r="K34" s="6" t="str">
        <f t="shared" si="1"/>
        <v>081290952870</v>
      </c>
      <c r="L34" s="6" t="str">
        <f>IFERROR(
VLOOKUP(
TRIM(
IF(ISNUMBER(FIND(",",E34)),
LEFT(E34,FIND(",",E34)-1),
E34
)
),
master!A:B,
2,
FALSE
),
"Belum ada mapping"
)
</f>
        <v>Sumatera Selatan</v>
      </c>
      <c r="M34" s="6">
        <f>IFERROR(__xludf.DUMMYFUNCTION("IF(REGEXMATCH(I34,""Cari Kerja""),1,0)
"),0.0)</f>
        <v>0</v>
      </c>
      <c r="N34" s="6">
        <f>IFERROR(__xludf.DUMMYFUNCTION("IF(REGEXMATCH(I34,""Upskill""),1,0)
"),1.0)</f>
        <v>1</v>
      </c>
      <c r="O34" s="6">
        <f>IFERROR(__xludf.DUMMYFUNCTION("IF(REGEXMATCH(I34,""Networking""),1,0)
"),0.0)</f>
        <v>0</v>
      </c>
      <c r="P34" s="6">
        <f>IFERROR(__xludf.DUMMYFUNCTION("IF(REGEXMATCH(I34,""Switch Career""),1,0)
"),0.0)</f>
        <v>0</v>
      </c>
    </row>
    <row r="35" ht="22.5" customHeight="1">
      <c r="A35" s="3">
        <v>46048.933916354166</v>
      </c>
      <c r="B35" s="5" t="s">
        <v>194</v>
      </c>
      <c r="C35" s="5" t="s">
        <v>195</v>
      </c>
      <c r="D35" s="4" t="s">
        <v>196</v>
      </c>
      <c r="E35" s="5" t="s">
        <v>42</v>
      </c>
      <c r="F35" s="5" t="s">
        <v>49</v>
      </c>
      <c r="G35" s="5" t="s">
        <v>197</v>
      </c>
      <c r="H35" s="5" t="s">
        <v>198</v>
      </c>
      <c r="I35" s="5" t="s">
        <v>59</v>
      </c>
      <c r="J35" s="5" t="s">
        <v>38</v>
      </c>
      <c r="K35" s="6" t="str">
        <f t="shared" si="1"/>
        <v>0895610337754</v>
      </c>
      <c r="L35" s="6" t="str">
        <f>IFERROR(
VLOOKUP(
TRIM(
IF(ISNUMBER(FIND(",",E35)),
LEFT(E35,FIND(",",E35)-1),
E35
)
),
master!A:B,
2,
FALSE
),
"Belum ada mapping"
)
</f>
        <v>Jawa Barat</v>
      </c>
      <c r="M35" s="6">
        <f>IFERROR(__xludf.DUMMYFUNCTION("IF(REGEXMATCH(I35,""Cari Kerja""),1,0)
"),0.0)</f>
        <v>0</v>
      </c>
      <c r="N35" s="6">
        <f>IFERROR(__xludf.DUMMYFUNCTION("IF(REGEXMATCH(I35,""Upskill""),1,0)
"),1.0)</f>
        <v>1</v>
      </c>
      <c r="O35" s="6">
        <f>IFERROR(__xludf.DUMMYFUNCTION("IF(REGEXMATCH(I35,""Networking""),1,0)
"),1.0)</f>
        <v>1</v>
      </c>
      <c r="P35" s="6">
        <f>IFERROR(__xludf.DUMMYFUNCTION("IF(REGEXMATCH(I35,""Switch Career""),1,0)
"),0.0)</f>
        <v>0</v>
      </c>
    </row>
    <row r="36" ht="22.5" customHeight="1">
      <c r="A36" s="3">
        <v>46042.32723052084</v>
      </c>
      <c r="B36" s="5" t="s">
        <v>199</v>
      </c>
      <c r="C36" s="5" t="s">
        <v>200</v>
      </c>
      <c r="D36" s="4" t="s">
        <v>201</v>
      </c>
      <c r="E36" s="5" t="s">
        <v>35</v>
      </c>
      <c r="F36" s="5" t="s">
        <v>49</v>
      </c>
      <c r="G36" s="5" t="s">
        <v>202</v>
      </c>
      <c r="H36" s="5" t="s">
        <v>203</v>
      </c>
      <c r="I36" s="5" t="s">
        <v>23</v>
      </c>
      <c r="J36" s="5" t="s">
        <v>24</v>
      </c>
      <c r="K36" s="6" t="str">
        <f t="shared" si="1"/>
        <v>085608185322</v>
      </c>
      <c r="L36" s="6" t="str">
        <f>IFERROR(
VLOOKUP(
TRIM(
IF(ISNUMBER(FIND(",",E36)),
LEFT(E36,FIND(",",E36)-1),
E36
)
),
master!A:B,
2,
FALSE
),
"Belum ada mapping"
)
</f>
        <v>Jawa Timur</v>
      </c>
      <c r="M36" s="6">
        <f>IFERROR(__xludf.DUMMYFUNCTION("IF(REGEXMATCH(I36,""Cari Kerja""),1,0)
"),1.0)</f>
        <v>1</v>
      </c>
      <c r="N36" s="6">
        <f>IFERROR(__xludf.DUMMYFUNCTION("IF(REGEXMATCH(I36,""Upskill""),1,0)
"),1.0)</f>
        <v>1</v>
      </c>
      <c r="O36" s="6">
        <f>IFERROR(__xludf.DUMMYFUNCTION("IF(REGEXMATCH(I36,""Networking""),1,0)
"),1.0)</f>
        <v>1</v>
      </c>
      <c r="P36" s="6">
        <f>IFERROR(__xludf.DUMMYFUNCTION("IF(REGEXMATCH(I36,""Switch Career""),1,0)
"),0.0)</f>
        <v>0</v>
      </c>
    </row>
    <row r="37" ht="22.5" customHeight="1">
      <c r="A37" s="3">
        <v>46042.48928364583</v>
      </c>
      <c r="B37" s="5" t="s">
        <v>204</v>
      </c>
      <c r="C37" s="5" t="s">
        <v>205</v>
      </c>
      <c r="D37" s="4" t="s">
        <v>206</v>
      </c>
      <c r="E37" s="5" t="s">
        <v>207</v>
      </c>
      <c r="F37" s="5" t="s">
        <v>49</v>
      </c>
      <c r="G37" s="5" t="s">
        <v>208</v>
      </c>
      <c r="H37" s="5" t="s">
        <v>209</v>
      </c>
      <c r="I37" s="5" t="s">
        <v>31</v>
      </c>
      <c r="J37" s="5" t="s">
        <v>76</v>
      </c>
      <c r="K37" s="6" t="str">
        <f t="shared" si="1"/>
        <v>085156639669</v>
      </c>
      <c r="L37" s="6" t="str">
        <f>IFERROR(
VLOOKUP(
TRIM(
IF(ISNUMBER(FIND(",",E37)),
LEFT(E37,FIND(",",E37)-1),
E37
)
),
master!A:B,
2,
FALSE
),
"Belum ada mapping"
)
</f>
        <v>Jakarta</v>
      </c>
      <c r="M37" s="6">
        <f>IFERROR(__xludf.DUMMYFUNCTION("IF(REGEXMATCH(I37,""Cari Kerja""),1,0)
"),1.0)</f>
        <v>1</v>
      </c>
      <c r="N37" s="6">
        <f>IFERROR(__xludf.DUMMYFUNCTION("IF(REGEXMATCH(I37,""Upskill""),1,0)
"),1.0)</f>
        <v>1</v>
      </c>
      <c r="O37" s="6">
        <f>IFERROR(__xludf.DUMMYFUNCTION("IF(REGEXMATCH(I37,""Networking""),1,0)
"),1.0)</f>
        <v>1</v>
      </c>
      <c r="P37" s="6">
        <f>IFERROR(__xludf.DUMMYFUNCTION("IF(REGEXMATCH(I37,""Switch Career""),1,0)
"),1.0)</f>
        <v>1</v>
      </c>
    </row>
    <row r="38" ht="22.5" customHeight="1">
      <c r="A38" s="3">
        <v>46043.292423692124</v>
      </c>
      <c r="B38" s="5" t="s">
        <v>210</v>
      </c>
      <c r="C38" s="5" t="s">
        <v>211</v>
      </c>
      <c r="D38" s="4" t="s">
        <v>212</v>
      </c>
      <c r="E38" s="5" t="s">
        <v>113</v>
      </c>
      <c r="F38" s="5" t="s">
        <v>20</v>
      </c>
      <c r="G38" s="5" t="s">
        <v>213</v>
      </c>
      <c r="H38" s="5" t="s">
        <v>214</v>
      </c>
      <c r="I38" s="5" t="s">
        <v>31</v>
      </c>
      <c r="J38" s="5" t="s">
        <v>76</v>
      </c>
      <c r="K38" s="6" t="str">
        <f t="shared" si="1"/>
        <v>087768885573</v>
      </c>
      <c r="L38" s="6" t="str">
        <f>IFERROR(
VLOOKUP(
TRIM(
IF(ISNUMBER(FIND(",",E38)),
LEFT(E38,FIND(",",E38)-1),
E38
)
),
master!A:B,
2,
FALSE
),
"Belum ada mapping"
)
</f>
        <v>Sumatera Utara</v>
      </c>
      <c r="M38" s="6">
        <f>IFERROR(__xludf.DUMMYFUNCTION("IF(REGEXMATCH(I38,""Cari Kerja""),1,0)
"),1.0)</f>
        <v>1</v>
      </c>
      <c r="N38" s="6">
        <f>IFERROR(__xludf.DUMMYFUNCTION("IF(REGEXMATCH(I38,""Upskill""),1,0)
"),1.0)</f>
        <v>1</v>
      </c>
      <c r="O38" s="6">
        <f>IFERROR(__xludf.DUMMYFUNCTION("IF(REGEXMATCH(I38,""Networking""),1,0)
"),1.0)</f>
        <v>1</v>
      </c>
      <c r="P38" s="6">
        <f>IFERROR(__xludf.DUMMYFUNCTION("IF(REGEXMATCH(I38,""Switch Career""),1,0)
"),1.0)</f>
        <v>1</v>
      </c>
    </row>
    <row r="39" ht="22.5" customHeight="1">
      <c r="A39" s="3">
        <v>46043.26191891204</v>
      </c>
      <c r="B39" s="5" t="s">
        <v>215</v>
      </c>
      <c r="C39" s="5" t="s">
        <v>216</v>
      </c>
      <c r="D39" s="4" t="s">
        <v>217</v>
      </c>
      <c r="E39" s="5" t="s">
        <v>218</v>
      </c>
      <c r="F39" s="5" t="s">
        <v>20</v>
      </c>
      <c r="G39" s="5" t="s">
        <v>219</v>
      </c>
      <c r="H39" s="5" t="s">
        <v>51</v>
      </c>
      <c r="I39" s="5" t="s">
        <v>23</v>
      </c>
      <c r="J39" s="5" t="s">
        <v>24</v>
      </c>
      <c r="K39" s="6" t="str">
        <f t="shared" si="1"/>
        <v>087781094363</v>
      </c>
      <c r="L39" s="6" t="str">
        <f>IFERROR(
VLOOKUP(
TRIM(
IF(ISNUMBER(FIND(",",E39)),
LEFT(E39,FIND(",",E39)-1),
E39
)
),
master!A:B,
2,
FALSE
),
"Belum ada mapping"
)
</f>
        <v>Banten</v>
      </c>
      <c r="M39" s="6">
        <f>IFERROR(__xludf.DUMMYFUNCTION("IF(REGEXMATCH(I39,""Cari Kerja""),1,0)
"),1.0)</f>
        <v>1</v>
      </c>
      <c r="N39" s="6">
        <f>IFERROR(__xludf.DUMMYFUNCTION("IF(REGEXMATCH(I39,""Upskill""),1,0)
"),1.0)</f>
        <v>1</v>
      </c>
      <c r="O39" s="6">
        <f>IFERROR(__xludf.DUMMYFUNCTION("IF(REGEXMATCH(I39,""Networking""),1,0)
"),1.0)</f>
        <v>1</v>
      </c>
      <c r="P39" s="6">
        <f>IFERROR(__xludf.DUMMYFUNCTION("IF(REGEXMATCH(I39,""Switch Career""),1,0)
"),0.0)</f>
        <v>0</v>
      </c>
    </row>
    <row r="40" ht="22.5" customHeight="1">
      <c r="A40" s="3">
        <v>46046.53498643519</v>
      </c>
      <c r="B40" s="5" t="s">
        <v>220</v>
      </c>
      <c r="C40" s="5" t="s">
        <v>221</v>
      </c>
      <c r="D40" s="4" t="s">
        <v>222</v>
      </c>
      <c r="E40" s="5" t="s">
        <v>223</v>
      </c>
      <c r="F40" s="5" t="s">
        <v>49</v>
      </c>
      <c r="G40" s="5" t="s">
        <v>224</v>
      </c>
      <c r="H40" s="5" t="s">
        <v>225</v>
      </c>
      <c r="I40" s="5" t="s">
        <v>13</v>
      </c>
      <c r="J40" s="5" t="s">
        <v>24</v>
      </c>
      <c r="K40" s="6" t="str">
        <f t="shared" si="1"/>
        <v>08987503222</v>
      </c>
      <c r="L40" s="6" t="str">
        <f>IFERROR(
VLOOKUP(
TRIM(
IF(ISNUMBER(FIND(",",E40)),
LEFT(E40,FIND(",",E40)-1),
E40
)
),
master!A:B,
2,
FALSE
),
"Belum ada mapping"
)
</f>
        <v>Banten</v>
      </c>
      <c r="M40" s="6">
        <f>IFERROR(__xludf.DUMMYFUNCTION("IF(REGEXMATCH(I40,""Cari Kerja""),1,0)
"),0.0)</f>
        <v>0</v>
      </c>
      <c r="N40" s="6">
        <f>IFERROR(__xludf.DUMMYFUNCTION("IF(REGEXMATCH(I40,""Upskill""),1,0)
"),1.0)</f>
        <v>1</v>
      </c>
      <c r="O40" s="6">
        <f>IFERROR(__xludf.DUMMYFUNCTION("IF(REGEXMATCH(I40,""Networking""),1,0)
"),0.0)</f>
        <v>0</v>
      </c>
      <c r="P40" s="6">
        <f>IFERROR(__xludf.DUMMYFUNCTION("IF(REGEXMATCH(I40,""Switch Career""),1,0)
"),0.0)</f>
        <v>0</v>
      </c>
    </row>
    <row r="41" ht="22.5" customHeight="1">
      <c r="A41" s="7">
        <v>46040.35949383102</v>
      </c>
      <c r="B41" s="8" t="s">
        <v>226</v>
      </c>
      <c r="C41" s="8" t="s">
        <v>227</v>
      </c>
      <c r="D41" s="9" t="s">
        <v>228</v>
      </c>
      <c r="E41" s="8" t="s">
        <v>122</v>
      </c>
      <c r="F41" s="8" t="s">
        <v>49</v>
      </c>
      <c r="G41" s="8" t="s">
        <v>229</v>
      </c>
      <c r="H41" s="8" t="s">
        <v>51</v>
      </c>
      <c r="I41" s="8" t="s">
        <v>31</v>
      </c>
      <c r="J41" s="8" t="s">
        <v>24</v>
      </c>
      <c r="K41" s="6" t="str">
        <f t="shared" si="1"/>
        <v>085299246868</v>
      </c>
      <c r="L41" s="6" t="str">
        <f>IFERROR(
VLOOKUP(
TRIM(
IF(ISNUMBER(FIND(",",E41)),
LEFT(E41,FIND(",",E41)-1),
E41
)
),
master!A:B,
2,
FALSE
),
"Belum ada mapping"
)
</f>
        <v>Sulawesi Selatan</v>
      </c>
      <c r="M41" s="6">
        <f>IFERROR(__xludf.DUMMYFUNCTION("IF(REGEXMATCH(I41,""Cari Kerja""),1,0)
"),1.0)</f>
        <v>1</v>
      </c>
      <c r="N41" s="6">
        <f>IFERROR(__xludf.DUMMYFUNCTION("IF(REGEXMATCH(I41,""Upskill""),1,0)
"),1.0)</f>
        <v>1</v>
      </c>
      <c r="O41" s="6">
        <f>IFERROR(__xludf.DUMMYFUNCTION("IF(REGEXMATCH(I41,""Networking""),1,0)
"),1.0)</f>
        <v>1</v>
      </c>
      <c r="P41" s="6">
        <f>IFERROR(__xludf.DUMMYFUNCTION("IF(REGEXMATCH(I41,""Switch Career""),1,0)
"),1.0)</f>
        <v>1</v>
      </c>
    </row>
    <row r="42" ht="22.5" customHeight="1">
      <c r="A42" s="3">
        <v>46043.2673474537</v>
      </c>
      <c r="B42" s="5" t="s">
        <v>230</v>
      </c>
      <c r="C42" s="5" t="s">
        <v>231</v>
      </c>
      <c r="D42" s="5" t="s">
        <v>232</v>
      </c>
      <c r="E42" s="5" t="s">
        <v>233</v>
      </c>
      <c r="F42" s="5" t="s">
        <v>49</v>
      </c>
      <c r="G42" s="5" t="s">
        <v>69</v>
      </c>
      <c r="H42" s="5" t="s">
        <v>234</v>
      </c>
      <c r="I42" s="5" t="s">
        <v>235</v>
      </c>
      <c r="J42" s="5" t="s">
        <v>24</v>
      </c>
      <c r="K42" s="6" t="str">
        <f t="shared" si="1"/>
        <v>08231225280p</v>
      </c>
      <c r="L42" s="6" t="str">
        <f>IFERROR(
VLOOKUP(
TRIM(
IF(ISNUMBER(FIND(",",E42)),
LEFT(E42,FIND(",",E42)-1),
E42
)
),
master!A:B,
2,
FALSE
),
"Belum ada mapping"
)
</f>
        <v>Banten</v>
      </c>
      <c r="M42" s="6">
        <f>IFERROR(__xludf.DUMMYFUNCTION("IF(REGEXMATCH(I42,""Cari Kerja""),1,0)
"),1.0)</f>
        <v>1</v>
      </c>
      <c r="N42" s="6">
        <f>IFERROR(__xludf.DUMMYFUNCTION("IF(REGEXMATCH(I42,""Upskill""),1,0)
"),1.0)</f>
        <v>1</v>
      </c>
      <c r="O42" s="6">
        <f>IFERROR(__xludf.DUMMYFUNCTION("IF(REGEXMATCH(I42,""Networking""),1,0)
"),0.0)</f>
        <v>0</v>
      </c>
      <c r="P42" s="6">
        <f>IFERROR(__xludf.DUMMYFUNCTION("IF(REGEXMATCH(I42,""Switch Career""),1,0)
"),1.0)</f>
        <v>1</v>
      </c>
    </row>
    <row r="43" ht="22.5" customHeight="1">
      <c r="A43" s="3">
        <v>46120.85037851852</v>
      </c>
      <c r="B43" s="5" t="s">
        <v>236</v>
      </c>
      <c r="C43" s="5" t="s">
        <v>237</v>
      </c>
      <c r="D43" s="4" t="s">
        <v>238</v>
      </c>
      <c r="E43" s="5" t="s">
        <v>239</v>
      </c>
      <c r="F43" s="5" t="s">
        <v>20</v>
      </c>
      <c r="G43" s="5" t="s">
        <v>240</v>
      </c>
      <c r="H43" s="5" t="s">
        <v>51</v>
      </c>
      <c r="I43" s="5" t="s">
        <v>23</v>
      </c>
      <c r="J43" s="5" t="s">
        <v>24</v>
      </c>
      <c r="K43" s="10" t="str">
        <f t="shared" si="1"/>
        <v>081211737531</v>
      </c>
      <c r="L43" s="10" t="str">
        <f>IFERROR(
VLOOKUP(
TRIM(
IF(ISNUMBER(FIND(",",E43)),
LEFT(E43,FIND(",",E43)-1),
E43
)
),
master!A:B,
2,
FALSE
),
"Belum ada mapping"
)
</f>
        <v>Banten</v>
      </c>
      <c r="M43" s="10">
        <f>IFERROR(__xludf.DUMMYFUNCTION("IF(REGEXMATCH(I43,""Cari Kerja""),1,0)
"),1.0)</f>
        <v>1</v>
      </c>
      <c r="N43" s="10">
        <f>IFERROR(__xludf.DUMMYFUNCTION("IF(REGEXMATCH(I43,""Upskill""),1,0)
"),1.0)</f>
        <v>1</v>
      </c>
      <c r="O43" s="10">
        <f>IFERROR(__xludf.DUMMYFUNCTION("IF(REGEXMATCH(I43,""Networking""),1,0)
"),1.0)</f>
        <v>1</v>
      </c>
      <c r="P43" s="10">
        <f>IFERROR(__xludf.DUMMYFUNCTION("IF(REGEXMATCH(I43,""Switch Career""),1,0)
"),0.0)</f>
        <v>0</v>
      </c>
    </row>
    <row r="44" ht="22.5" customHeight="1">
      <c r="A44" s="7">
        <v>46040.41250291667</v>
      </c>
      <c r="B44" s="8" t="s">
        <v>241</v>
      </c>
      <c r="C44" s="8" t="s">
        <v>242</v>
      </c>
      <c r="D44" s="9" t="s">
        <v>243</v>
      </c>
      <c r="E44" s="8" t="s">
        <v>174</v>
      </c>
      <c r="F44" s="8" t="s">
        <v>49</v>
      </c>
      <c r="G44" s="8" t="s">
        <v>244</v>
      </c>
      <c r="H44" s="8" t="s">
        <v>245</v>
      </c>
      <c r="I44" s="8" t="s">
        <v>52</v>
      </c>
      <c r="J44" s="8" t="s">
        <v>24</v>
      </c>
      <c r="K44" s="6" t="str">
        <f t="shared" si="1"/>
        <v>089614108788</v>
      </c>
      <c r="L44" s="6" t="str">
        <f>IFERROR(
VLOOKUP(
TRIM(
IF(ISNUMBER(FIND(",",E44)),
LEFT(E44,FIND(",",E44)-1),
E44
)
),
master!A:B,
2,
FALSE
),
"Belum ada mapping"
)
</f>
        <v>Jawa Timur</v>
      </c>
      <c r="M44" s="6">
        <f>IFERROR(__xludf.DUMMYFUNCTION("IF(REGEXMATCH(I44,""Cari Kerja""),1,0)
"),0.0)</f>
        <v>0</v>
      </c>
      <c r="N44" s="6">
        <f>IFERROR(__xludf.DUMMYFUNCTION("IF(REGEXMATCH(I44,""Upskill""),1,0)
"),1.0)</f>
        <v>1</v>
      </c>
      <c r="O44" s="6">
        <f>IFERROR(__xludf.DUMMYFUNCTION("IF(REGEXMATCH(I44,""Networking""),1,0)
"),1.0)</f>
        <v>1</v>
      </c>
      <c r="P44" s="6">
        <f>IFERROR(__xludf.DUMMYFUNCTION("IF(REGEXMATCH(I44,""Switch Career""),1,0)
"),1.0)</f>
        <v>1</v>
      </c>
    </row>
    <row r="45" ht="22.5" customHeight="1">
      <c r="A45" s="7">
        <v>46040.47110841435</v>
      </c>
      <c r="B45" s="8" t="s">
        <v>246</v>
      </c>
      <c r="C45" s="8" t="s">
        <v>247</v>
      </c>
      <c r="D45" s="9" t="s">
        <v>248</v>
      </c>
      <c r="E45" s="8" t="s">
        <v>249</v>
      </c>
      <c r="F45" s="8" t="s">
        <v>49</v>
      </c>
      <c r="G45" s="8" t="s">
        <v>250</v>
      </c>
      <c r="H45" s="8" t="s">
        <v>51</v>
      </c>
      <c r="I45" s="8" t="s">
        <v>52</v>
      </c>
      <c r="J45" s="8" t="s">
        <v>24</v>
      </c>
      <c r="K45" s="6" t="str">
        <f t="shared" si="1"/>
        <v>082279790640</v>
      </c>
      <c r="L45" s="6" t="str">
        <f>IFERROR(
VLOOKUP(
TRIM(
IF(ISNUMBER(FIND(",",E45)),
LEFT(E45,FIND(",",E45)-1),
E45
)
),
master!A:B,
2,
FALSE
),
"Belum ada mapping"
)
</f>
        <v>Jambi</v>
      </c>
      <c r="M45" s="6">
        <f>IFERROR(__xludf.DUMMYFUNCTION("IF(REGEXMATCH(I45,""Cari Kerja""),1,0)
"),0.0)</f>
        <v>0</v>
      </c>
      <c r="N45" s="6">
        <f>IFERROR(__xludf.DUMMYFUNCTION("IF(REGEXMATCH(I45,""Upskill""),1,0)
"),1.0)</f>
        <v>1</v>
      </c>
      <c r="O45" s="6">
        <f>IFERROR(__xludf.DUMMYFUNCTION("IF(REGEXMATCH(I45,""Networking""),1,0)
"),1.0)</f>
        <v>1</v>
      </c>
      <c r="P45" s="6">
        <f>IFERROR(__xludf.DUMMYFUNCTION("IF(REGEXMATCH(I45,""Switch Career""),1,0)
"),1.0)</f>
        <v>1</v>
      </c>
    </row>
    <row r="46" ht="22.5" customHeight="1">
      <c r="A46" s="3">
        <v>46046.638524016205</v>
      </c>
      <c r="B46" s="5" t="s">
        <v>251</v>
      </c>
      <c r="C46" s="5" t="s">
        <v>252</v>
      </c>
      <c r="D46" s="4" t="s">
        <v>253</v>
      </c>
      <c r="E46" s="5" t="s">
        <v>92</v>
      </c>
      <c r="F46" s="5" t="s">
        <v>20</v>
      </c>
      <c r="G46" s="5" t="s">
        <v>254</v>
      </c>
      <c r="H46" s="5" t="s">
        <v>51</v>
      </c>
      <c r="I46" s="5" t="s">
        <v>23</v>
      </c>
      <c r="J46" s="5" t="s">
        <v>24</v>
      </c>
      <c r="K46" s="6" t="str">
        <f t="shared" si="1"/>
        <v>088801101132</v>
      </c>
      <c r="L46" s="6" t="str">
        <f>IFERROR(
VLOOKUP(
TRIM(
IF(ISNUMBER(FIND(",",E46)),
LEFT(E46,FIND(",",E46)-1),
E46
)
),
master!A:B,
2,
FALSE
),
"Belum ada mapping"
)
</f>
        <v>Jawa Barat</v>
      </c>
      <c r="M46" s="6">
        <f>IFERROR(__xludf.DUMMYFUNCTION("IF(REGEXMATCH(I46,""Cari Kerja""),1,0)
"),1.0)</f>
        <v>1</v>
      </c>
      <c r="N46" s="6">
        <f>IFERROR(__xludf.DUMMYFUNCTION("IF(REGEXMATCH(I46,""Upskill""),1,0)
"),1.0)</f>
        <v>1</v>
      </c>
      <c r="O46" s="6">
        <f>IFERROR(__xludf.DUMMYFUNCTION("IF(REGEXMATCH(I46,""Networking""),1,0)
"),1.0)</f>
        <v>1</v>
      </c>
      <c r="P46" s="6">
        <f>IFERROR(__xludf.DUMMYFUNCTION("IF(REGEXMATCH(I46,""Switch Career""),1,0)
"),0.0)</f>
        <v>0</v>
      </c>
    </row>
    <row r="47" ht="22.5" customHeight="1">
      <c r="A47" s="3">
        <v>46049.294720590275</v>
      </c>
      <c r="B47" s="5" t="s">
        <v>255</v>
      </c>
      <c r="C47" s="5" t="s">
        <v>256</v>
      </c>
      <c r="D47" s="4" t="s">
        <v>257</v>
      </c>
      <c r="E47" s="5" t="s">
        <v>118</v>
      </c>
      <c r="F47" s="5" t="s">
        <v>49</v>
      </c>
      <c r="G47" s="5" t="s">
        <v>258</v>
      </c>
      <c r="H47" s="5" t="s">
        <v>259</v>
      </c>
      <c r="I47" s="5" t="s">
        <v>52</v>
      </c>
      <c r="J47" s="5" t="s">
        <v>38</v>
      </c>
      <c r="K47" s="6" t="str">
        <f t="shared" si="1"/>
        <v>087753343987</v>
      </c>
      <c r="L47" s="6" t="str">
        <f>IFERROR(
VLOOKUP(
TRIM(
IF(ISNUMBER(FIND(",",E47)),
LEFT(E47,FIND(",",E47)-1),
E47
)
),
master!A:B,
2,
FALSE
),
"Belum ada mapping"
)
</f>
        <v>Jawa Timur</v>
      </c>
      <c r="M47" s="6">
        <f>IFERROR(__xludf.DUMMYFUNCTION("IF(REGEXMATCH(I47,""Cari Kerja""),1,0)
"),0.0)</f>
        <v>0</v>
      </c>
      <c r="N47" s="6">
        <f>IFERROR(__xludf.DUMMYFUNCTION("IF(REGEXMATCH(I47,""Upskill""),1,0)
"),1.0)</f>
        <v>1</v>
      </c>
      <c r="O47" s="6">
        <f>IFERROR(__xludf.DUMMYFUNCTION("IF(REGEXMATCH(I47,""Networking""),1,0)
"),1.0)</f>
        <v>1</v>
      </c>
      <c r="P47" s="6">
        <f>IFERROR(__xludf.DUMMYFUNCTION("IF(REGEXMATCH(I47,""Switch Career""),1,0)
"),1.0)</f>
        <v>1</v>
      </c>
    </row>
    <row r="48" ht="22.5" customHeight="1">
      <c r="A48" s="3">
        <v>46048.809294039354</v>
      </c>
      <c r="B48" s="5" t="s">
        <v>260</v>
      </c>
      <c r="C48" s="5" t="s">
        <v>261</v>
      </c>
      <c r="D48" s="4" t="s">
        <v>262</v>
      </c>
      <c r="E48" s="5" t="s">
        <v>185</v>
      </c>
      <c r="F48" s="5" t="s">
        <v>20</v>
      </c>
      <c r="G48" s="5" t="s">
        <v>69</v>
      </c>
      <c r="H48" s="5" t="s">
        <v>51</v>
      </c>
      <c r="I48" s="5" t="s">
        <v>31</v>
      </c>
      <c r="J48" s="5" t="s">
        <v>24</v>
      </c>
      <c r="K48" s="6" t="str">
        <f t="shared" si="1"/>
        <v>0895333146474</v>
      </c>
      <c r="L48" s="6" t="str">
        <f>IFERROR(
VLOOKUP(
TRIM(
IF(ISNUMBER(FIND(",",E48)),
LEFT(E48,FIND(",",E48)-1),
E48
)
),
master!A:B,
2,
FALSE
),
"Belum ada mapping"
)
</f>
        <v>Jakarta</v>
      </c>
      <c r="M48" s="6">
        <f>IFERROR(__xludf.DUMMYFUNCTION("IF(REGEXMATCH(I48,""Cari Kerja""),1,0)
"),1.0)</f>
        <v>1</v>
      </c>
      <c r="N48" s="6">
        <f>IFERROR(__xludf.DUMMYFUNCTION("IF(REGEXMATCH(I48,""Upskill""),1,0)
"),1.0)</f>
        <v>1</v>
      </c>
      <c r="O48" s="6">
        <f>IFERROR(__xludf.DUMMYFUNCTION("IF(REGEXMATCH(I48,""Networking""),1,0)
"),1.0)</f>
        <v>1</v>
      </c>
      <c r="P48" s="6">
        <f>IFERROR(__xludf.DUMMYFUNCTION("IF(REGEXMATCH(I48,""Switch Career""),1,0)
"),1.0)</f>
        <v>1</v>
      </c>
    </row>
    <row r="49" ht="22.5" customHeight="1">
      <c r="A49" s="3">
        <v>46056.88093457176</v>
      </c>
      <c r="B49" s="5" t="s">
        <v>263</v>
      </c>
      <c r="C49" s="5" t="s">
        <v>264</v>
      </c>
      <c r="D49" s="4" t="s">
        <v>265</v>
      </c>
      <c r="E49" s="5" t="s">
        <v>266</v>
      </c>
      <c r="F49" s="5" t="s">
        <v>20</v>
      </c>
      <c r="G49" s="5" t="s">
        <v>267</v>
      </c>
      <c r="H49" s="5" t="s">
        <v>268</v>
      </c>
      <c r="I49" s="5" t="s">
        <v>23</v>
      </c>
      <c r="J49" s="5" t="s">
        <v>24</v>
      </c>
      <c r="K49" s="10" t="str">
        <f t="shared" si="1"/>
        <v>089669278023</v>
      </c>
      <c r="L49" s="10" t="str">
        <f>IFERROR(
VLOOKUP(
TRIM(
IF(ISNUMBER(FIND(",",E49)),
LEFT(E49,FIND(",",E49)-1),
E49
)
),
master!A:B,
2,
FALSE
),
"Belum ada mapping"
)
</f>
        <v>Jawa Tengah</v>
      </c>
      <c r="M49" s="10">
        <f>IFERROR(__xludf.DUMMYFUNCTION("IF(REGEXMATCH(I49,""Cari Kerja""),1,0)
"),1.0)</f>
        <v>1</v>
      </c>
      <c r="N49" s="10">
        <f>IFERROR(__xludf.DUMMYFUNCTION("IF(REGEXMATCH(I49,""Upskill""),1,0)
"),1.0)</f>
        <v>1</v>
      </c>
      <c r="O49" s="10">
        <f>IFERROR(__xludf.DUMMYFUNCTION("IF(REGEXMATCH(I49,""Networking""),1,0)
"),1.0)</f>
        <v>1</v>
      </c>
      <c r="P49" s="10">
        <f>IFERROR(__xludf.DUMMYFUNCTION("IF(REGEXMATCH(I49,""Switch Career""),1,0)
"),0.0)</f>
        <v>0</v>
      </c>
    </row>
    <row r="50" ht="22.5" customHeight="1">
      <c r="A50" s="3">
        <v>46120.61800990741</v>
      </c>
      <c r="B50" s="5" t="s">
        <v>269</v>
      </c>
      <c r="C50" s="5" t="s">
        <v>270</v>
      </c>
      <c r="D50" s="4" t="s">
        <v>271</v>
      </c>
      <c r="E50" s="5" t="s">
        <v>174</v>
      </c>
      <c r="F50" s="5" t="s">
        <v>20</v>
      </c>
      <c r="G50" s="5" t="s">
        <v>272</v>
      </c>
      <c r="H50" s="5" t="s">
        <v>203</v>
      </c>
      <c r="I50" s="5" t="s">
        <v>14</v>
      </c>
      <c r="J50" s="5" t="s">
        <v>24</v>
      </c>
      <c r="K50" s="10" t="str">
        <f t="shared" si="1"/>
        <v>089696851417</v>
      </c>
      <c r="L50" s="10" t="str">
        <f>IFERROR(
VLOOKUP(
TRIM(
IF(ISNUMBER(FIND(",",E50)),
LEFT(E50,FIND(",",E50)-1),
E50
)
),
master!A:B,
2,
FALSE
),
"Belum ada mapping"
)
</f>
        <v>Jawa Timur</v>
      </c>
      <c r="M50" s="10">
        <f>IFERROR(__xludf.DUMMYFUNCTION("IF(REGEXMATCH(I50,""Cari Kerja""),1,0)
"),0.0)</f>
        <v>0</v>
      </c>
      <c r="N50" s="10">
        <f>IFERROR(__xludf.DUMMYFUNCTION("IF(REGEXMATCH(I50,""Upskill""),1,0)
"),0.0)</f>
        <v>0</v>
      </c>
      <c r="O50" s="10">
        <f>IFERROR(__xludf.DUMMYFUNCTION("IF(REGEXMATCH(I50,""Networking""),1,0)
"),1.0)</f>
        <v>1</v>
      </c>
      <c r="P50" s="10">
        <f>IFERROR(__xludf.DUMMYFUNCTION("IF(REGEXMATCH(I50,""Switch Career""),1,0)
"),0.0)</f>
        <v>0</v>
      </c>
    </row>
    <row r="51" ht="22.5" customHeight="1">
      <c r="A51" s="3">
        <v>46122.612717615746</v>
      </c>
      <c r="B51" s="5" t="s">
        <v>273</v>
      </c>
      <c r="C51" s="5" t="s">
        <v>274</v>
      </c>
      <c r="D51" s="4" t="s">
        <v>275</v>
      </c>
      <c r="E51" s="5" t="s">
        <v>276</v>
      </c>
      <c r="F51" s="5" t="s">
        <v>20</v>
      </c>
      <c r="G51" s="5" t="s">
        <v>277</v>
      </c>
      <c r="H51" s="5" t="s">
        <v>278</v>
      </c>
      <c r="I51" s="5" t="s">
        <v>59</v>
      </c>
      <c r="J51" s="5" t="s">
        <v>38</v>
      </c>
      <c r="K51" s="10" t="str">
        <f t="shared" si="1"/>
        <v>081234909715</v>
      </c>
      <c r="L51" s="10" t="str">
        <f>IFERROR(
VLOOKUP(
TRIM(
IF(ISNUMBER(FIND(",",E51)),
LEFT(E51,FIND(",",E51)-1),
E51
)
),
master!A:B,
2,
FALSE
),
"Belum ada mapping"
)
</f>
        <v>Jawa Timur</v>
      </c>
      <c r="M51" s="10">
        <f>IFERROR(__xludf.DUMMYFUNCTION("IF(REGEXMATCH(I51,""Cari Kerja""),1,0)
"),0.0)</f>
        <v>0</v>
      </c>
      <c r="N51" s="10">
        <f>IFERROR(__xludf.DUMMYFUNCTION("IF(REGEXMATCH(I51,""Upskill""),1,0)
"),1.0)</f>
        <v>1</v>
      </c>
      <c r="O51" s="10">
        <f>IFERROR(__xludf.DUMMYFUNCTION("IF(REGEXMATCH(I51,""Networking""),1,0)
"),1.0)</f>
        <v>1</v>
      </c>
      <c r="P51" s="10">
        <f>IFERROR(__xludf.DUMMYFUNCTION("IF(REGEXMATCH(I51,""Switch Career""),1,0)
"),0.0)</f>
        <v>0</v>
      </c>
    </row>
    <row r="52" ht="22.5" customHeight="1">
      <c r="A52" s="3">
        <v>46049.52209701389</v>
      </c>
      <c r="B52" s="5" t="s">
        <v>279</v>
      </c>
      <c r="C52" s="5" t="s">
        <v>280</v>
      </c>
      <c r="D52" s="5" t="s">
        <v>281</v>
      </c>
      <c r="E52" s="5" t="s">
        <v>56</v>
      </c>
      <c r="F52" s="5" t="s">
        <v>20</v>
      </c>
      <c r="G52" s="5" t="s">
        <v>282</v>
      </c>
      <c r="H52" s="5" t="s">
        <v>51</v>
      </c>
      <c r="I52" s="5" t="s">
        <v>130</v>
      </c>
      <c r="J52" s="5" t="s">
        <v>24</v>
      </c>
      <c r="K52" s="10" t="str">
        <f t="shared" si="1"/>
        <v>0858-9028-4815 </v>
      </c>
      <c r="L52" s="10" t="str">
        <f>IFERROR(
VLOOKUP(
TRIM(
IF(ISNUMBER(FIND(",",E52)),
LEFT(E52,FIND(",",E52)-1),
E52
)
),
master!A:B,
2,
FALSE
),
"Belum ada mapping"
)
</f>
        <v>Banten</v>
      </c>
      <c r="M52" s="6">
        <f>IFERROR(__xludf.DUMMYFUNCTION("IF(REGEXMATCH(I52,""Cari Kerja""),1,0)
"),1.0)</f>
        <v>1</v>
      </c>
      <c r="N52" s="6">
        <f>IFERROR(__xludf.DUMMYFUNCTION("IF(REGEXMATCH(I52,""Upskill""),1,0)
"),1.0)</f>
        <v>1</v>
      </c>
      <c r="O52" s="6">
        <f>IFERROR(__xludf.DUMMYFUNCTION("IF(REGEXMATCH(I52,""Networking""),1,0)
"),0.0)</f>
        <v>0</v>
      </c>
      <c r="P52" s="6">
        <f>IFERROR(__xludf.DUMMYFUNCTION("IF(REGEXMATCH(I52,""Switch Career""),1,0)
"),0.0)</f>
        <v>0</v>
      </c>
    </row>
    <row r="53" ht="22.5" customHeight="1">
      <c r="A53" s="7">
        <v>46040.346421574075</v>
      </c>
      <c r="B53" s="8" t="s">
        <v>283</v>
      </c>
      <c r="C53" s="8" t="s">
        <v>284</v>
      </c>
      <c r="D53" s="9" t="s">
        <v>285</v>
      </c>
      <c r="E53" s="8" t="s">
        <v>74</v>
      </c>
      <c r="F53" s="8" t="s">
        <v>20</v>
      </c>
      <c r="G53" s="8" t="s">
        <v>286</v>
      </c>
      <c r="H53" s="8" t="s">
        <v>287</v>
      </c>
      <c r="I53" s="8" t="s">
        <v>23</v>
      </c>
      <c r="J53" s="8" t="s">
        <v>24</v>
      </c>
      <c r="K53" s="6" t="str">
        <f t="shared" si="1"/>
        <v>085934847451</v>
      </c>
      <c r="L53" s="6" t="str">
        <f>IFERROR(
VLOOKUP(
TRIM(
IF(ISNUMBER(FIND(",",E53)),
LEFT(E53,FIND(",",E53)-1),
E53
)
),
master!A:B,
2,
FALSE
),
"Belum ada mapping"
)
</f>
        <v>Banten</v>
      </c>
      <c r="M53" s="6">
        <f>IFERROR(__xludf.DUMMYFUNCTION("IF(REGEXMATCH(I53,""Cari Kerja""),1,0)
"),1.0)</f>
        <v>1</v>
      </c>
      <c r="N53" s="6">
        <f>IFERROR(__xludf.DUMMYFUNCTION("IF(REGEXMATCH(I53,""Upskill""),1,0)
"),1.0)</f>
        <v>1</v>
      </c>
      <c r="O53" s="6">
        <f>IFERROR(__xludf.DUMMYFUNCTION("IF(REGEXMATCH(I53,""Networking""),1,0)
"),1.0)</f>
        <v>1</v>
      </c>
      <c r="P53" s="6">
        <f>IFERROR(__xludf.DUMMYFUNCTION("IF(REGEXMATCH(I53,""Switch Career""),1,0)
"),0.0)</f>
        <v>0</v>
      </c>
    </row>
    <row r="54" ht="22.5" customHeight="1">
      <c r="A54" s="3">
        <v>46042.44782341435</v>
      </c>
      <c r="B54" s="5" t="s">
        <v>288</v>
      </c>
      <c r="C54" s="5" t="s">
        <v>289</v>
      </c>
      <c r="D54" s="4" t="s">
        <v>290</v>
      </c>
      <c r="E54" s="5" t="s">
        <v>74</v>
      </c>
      <c r="F54" s="5" t="s">
        <v>49</v>
      </c>
      <c r="G54" s="5" t="s">
        <v>291</v>
      </c>
      <c r="H54" s="5" t="s">
        <v>51</v>
      </c>
      <c r="I54" s="5" t="s">
        <v>23</v>
      </c>
      <c r="J54" s="5" t="s">
        <v>24</v>
      </c>
      <c r="K54" s="6" t="str">
        <f t="shared" si="1"/>
        <v>083188233315</v>
      </c>
      <c r="L54" s="6" t="str">
        <f>IFERROR(
VLOOKUP(
TRIM(
IF(ISNUMBER(FIND(",",E54)),
LEFT(E54,FIND(",",E54)-1),
E54
)
),
master!A:B,
2,
FALSE
),
"Belum ada mapping"
)
</f>
        <v>Banten</v>
      </c>
      <c r="M54" s="6">
        <f>IFERROR(__xludf.DUMMYFUNCTION("IF(REGEXMATCH(I54,""Cari Kerja""),1,0)
"),1.0)</f>
        <v>1</v>
      </c>
      <c r="N54" s="6">
        <f>IFERROR(__xludf.DUMMYFUNCTION("IF(REGEXMATCH(I54,""Upskill""),1,0)
"),1.0)</f>
        <v>1</v>
      </c>
      <c r="O54" s="6">
        <f>IFERROR(__xludf.DUMMYFUNCTION("IF(REGEXMATCH(I54,""Networking""),1,0)
"),1.0)</f>
        <v>1</v>
      </c>
      <c r="P54" s="6">
        <f>IFERROR(__xludf.DUMMYFUNCTION("IF(REGEXMATCH(I54,""Switch Career""),1,0)
"),0.0)</f>
        <v>0</v>
      </c>
    </row>
    <row r="55" ht="22.5" customHeight="1">
      <c r="A55" s="3">
        <v>46042.5603815625</v>
      </c>
      <c r="B55" s="5" t="s">
        <v>292</v>
      </c>
      <c r="C55" s="5" t="s">
        <v>293</v>
      </c>
      <c r="D55" s="4" t="s">
        <v>294</v>
      </c>
      <c r="E55" s="5" t="s">
        <v>207</v>
      </c>
      <c r="F55" s="5" t="s">
        <v>20</v>
      </c>
      <c r="G55" s="5" t="s">
        <v>69</v>
      </c>
      <c r="H55" s="5" t="s">
        <v>295</v>
      </c>
      <c r="I55" s="5" t="s">
        <v>52</v>
      </c>
      <c r="J55" s="5" t="s">
        <v>24</v>
      </c>
      <c r="K55" s="6" t="str">
        <f t="shared" si="1"/>
        <v>0813432159315</v>
      </c>
      <c r="L55" s="6" t="str">
        <f>IFERROR(
VLOOKUP(
TRIM(
IF(ISNUMBER(FIND(",",E55)),
LEFT(E55,FIND(",",E55)-1),
E55
)
),
master!A:B,
2,
FALSE
),
"Belum ada mapping"
)
</f>
        <v>Jakarta</v>
      </c>
      <c r="M55" s="6">
        <f>IFERROR(__xludf.DUMMYFUNCTION("IF(REGEXMATCH(I55,""Cari Kerja""),1,0)
"),0.0)</f>
        <v>0</v>
      </c>
      <c r="N55" s="6">
        <f>IFERROR(__xludf.DUMMYFUNCTION("IF(REGEXMATCH(I55,""Upskill""),1,0)
"),1.0)</f>
        <v>1</v>
      </c>
      <c r="O55" s="6">
        <f>IFERROR(__xludf.DUMMYFUNCTION("IF(REGEXMATCH(I55,""Networking""),1,0)
"),1.0)</f>
        <v>1</v>
      </c>
      <c r="P55" s="6">
        <f>IFERROR(__xludf.DUMMYFUNCTION("IF(REGEXMATCH(I55,""Switch Career""),1,0)
"),1.0)</f>
        <v>1</v>
      </c>
    </row>
    <row r="56" ht="22.5" customHeight="1">
      <c r="A56" s="7">
        <v>46040.42706375</v>
      </c>
      <c r="B56" s="8" t="s">
        <v>296</v>
      </c>
      <c r="C56" s="8" t="s">
        <v>297</v>
      </c>
      <c r="D56" s="9" t="s">
        <v>298</v>
      </c>
      <c r="E56" s="8" t="s">
        <v>299</v>
      </c>
      <c r="F56" s="8" t="s">
        <v>49</v>
      </c>
      <c r="G56" s="8" t="s">
        <v>300</v>
      </c>
      <c r="H56" s="8" t="s">
        <v>301</v>
      </c>
      <c r="I56" s="8" t="s">
        <v>52</v>
      </c>
      <c r="J56" s="8" t="s">
        <v>24</v>
      </c>
      <c r="K56" s="6" t="str">
        <f t="shared" si="1"/>
        <v>085238912981</v>
      </c>
      <c r="L56" s="6" t="str">
        <f>IFERROR(
VLOOKUP(
TRIM(
IF(ISNUMBER(FIND(",",E56)),
LEFT(E56,FIND(",",E56)-1),
E56
)
),
master!A:B,
2,
FALSE
),
"Belum ada mapping"
)
</f>
        <v>Kalimatan Tengah</v>
      </c>
      <c r="M56" s="6">
        <f>IFERROR(__xludf.DUMMYFUNCTION("IF(REGEXMATCH(I56,""Cari Kerja""),1,0)
"),0.0)</f>
        <v>0</v>
      </c>
      <c r="N56" s="6">
        <f>IFERROR(__xludf.DUMMYFUNCTION("IF(REGEXMATCH(I56,""Upskill""),1,0)
"),1.0)</f>
        <v>1</v>
      </c>
      <c r="O56" s="6">
        <f>IFERROR(__xludf.DUMMYFUNCTION("IF(REGEXMATCH(I56,""Networking""),1,0)
"),1.0)</f>
        <v>1</v>
      </c>
      <c r="P56" s="6">
        <f>IFERROR(__xludf.DUMMYFUNCTION("IF(REGEXMATCH(I56,""Switch Career""),1,0)
"),1.0)</f>
        <v>1</v>
      </c>
    </row>
    <row r="57" ht="22.5" customHeight="1">
      <c r="A57" s="3">
        <v>46046.40814608797</v>
      </c>
      <c r="B57" s="5" t="s">
        <v>302</v>
      </c>
      <c r="C57" s="5" t="s">
        <v>303</v>
      </c>
      <c r="D57" s="4" t="s">
        <v>304</v>
      </c>
      <c r="E57" s="5" t="s">
        <v>19</v>
      </c>
      <c r="F57" s="5" t="s">
        <v>20</v>
      </c>
      <c r="G57" s="5" t="s">
        <v>21</v>
      </c>
      <c r="H57" s="5" t="s">
        <v>305</v>
      </c>
      <c r="I57" s="5" t="s">
        <v>12</v>
      </c>
      <c r="J57" s="5" t="s">
        <v>38</v>
      </c>
      <c r="K57" s="6" t="str">
        <f t="shared" si="1"/>
        <v>085540628464</v>
      </c>
      <c r="L57" s="6" t="str">
        <f>IFERROR(
VLOOKUP(
TRIM(
IF(ISNUMBER(FIND(",",E57)),
LEFT(E57,FIND(",",E57)-1),
E57
)
),
master!A:B,
2,
FALSE
),
"Belum ada mapping"
)
</f>
        <v>Jawa Tengah</v>
      </c>
      <c r="M57" s="6">
        <f>IFERROR(__xludf.DUMMYFUNCTION("IF(REGEXMATCH(I57,""Cari Kerja""),1,0)
"),1.0)</f>
        <v>1</v>
      </c>
      <c r="N57" s="6">
        <f>IFERROR(__xludf.DUMMYFUNCTION("IF(REGEXMATCH(I57,""Upskill""),1,0)
"),0.0)</f>
        <v>0</v>
      </c>
      <c r="O57" s="6">
        <f>IFERROR(__xludf.DUMMYFUNCTION("IF(REGEXMATCH(I57,""Networking""),1,0)
"),0.0)</f>
        <v>0</v>
      </c>
      <c r="P57" s="6">
        <f>IFERROR(__xludf.DUMMYFUNCTION("IF(REGEXMATCH(I57,""Switch Career""),1,0)
"),0.0)</f>
        <v>0</v>
      </c>
    </row>
    <row r="58" ht="22.5" customHeight="1">
      <c r="A58" s="3">
        <v>46042.41634837963</v>
      </c>
      <c r="B58" s="5" t="s">
        <v>306</v>
      </c>
      <c r="C58" s="5" t="s">
        <v>307</v>
      </c>
      <c r="D58" s="4" t="s">
        <v>308</v>
      </c>
      <c r="E58" s="5" t="s">
        <v>309</v>
      </c>
      <c r="F58" s="5" t="s">
        <v>20</v>
      </c>
      <c r="G58" s="5" t="s">
        <v>310</v>
      </c>
      <c r="H58" s="5" t="s">
        <v>198</v>
      </c>
      <c r="I58" s="5" t="s">
        <v>23</v>
      </c>
      <c r="J58" s="5" t="s">
        <v>24</v>
      </c>
      <c r="K58" s="6" t="str">
        <f t="shared" si="1"/>
        <v>089570916382</v>
      </c>
      <c r="L58" s="6" t="str">
        <f>IFERROR(
VLOOKUP(
TRIM(
IF(ISNUMBER(FIND(",",E58)),
LEFT(E58,FIND(",",E58)-1),
E58
)
),
master!A:B,
2,
FALSE
),
"Belum ada mapping"
)
</f>
        <v>Jawa Timur</v>
      </c>
      <c r="M58" s="6">
        <f>IFERROR(__xludf.DUMMYFUNCTION("IF(REGEXMATCH(I58,""Cari Kerja""),1,0)
"),1.0)</f>
        <v>1</v>
      </c>
      <c r="N58" s="6">
        <f>IFERROR(__xludf.DUMMYFUNCTION("IF(REGEXMATCH(I58,""Upskill""),1,0)
"),1.0)</f>
        <v>1</v>
      </c>
      <c r="O58" s="6">
        <f>IFERROR(__xludf.DUMMYFUNCTION("IF(REGEXMATCH(I58,""Networking""),1,0)
"),1.0)</f>
        <v>1</v>
      </c>
      <c r="P58" s="6">
        <f>IFERROR(__xludf.DUMMYFUNCTION("IF(REGEXMATCH(I58,""Switch Career""),1,0)
"),0.0)</f>
        <v>0</v>
      </c>
    </row>
    <row r="59" ht="22.5" customHeight="1">
      <c r="A59" s="3">
        <v>46044.50527329861</v>
      </c>
      <c r="B59" s="5" t="s">
        <v>311</v>
      </c>
      <c r="C59" s="5" t="s">
        <v>312</v>
      </c>
      <c r="D59" s="4" t="s">
        <v>313</v>
      </c>
      <c r="E59" s="5" t="s">
        <v>207</v>
      </c>
      <c r="F59" s="5" t="s">
        <v>49</v>
      </c>
      <c r="G59" s="5" t="s">
        <v>314</v>
      </c>
      <c r="H59" s="5" t="s">
        <v>315</v>
      </c>
      <c r="I59" s="5" t="s">
        <v>13</v>
      </c>
      <c r="J59" s="5" t="s">
        <v>24</v>
      </c>
      <c r="K59" s="6" t="str">
        <f t="shared" si="1"/>
        <v>085156514460</v>
      </c>
      <c r="L59" s="6" t="str">
        <f>IFERROR(
VLOOKUP(
TRIM(
IF(ISNUMBER(FIND(",",E59)),
LEFT(E59,FIND(",",E59)-1),
E59
)
),
master!A:B,
2,
FALSE
),
"Belum ada mapping"
)
</f>
        <v>Jakarta</v>
      </c>
      <c r="M59" s="6">
        <f>IFERROR(__xludf.DUMMYFUNCTION("IF(REGEXMATCH(I59,""Cari Kerja""),1,0)
"),0.0)</f>
        <v>0</v>
      </c>
      <c r="N59" s="6">
        <f>IFERROR(__xludf.DUMMYFUNCTION("IF(REGEXMATCH(I59,""Upskill""),1,0)
"),1.0)</f>
        <v>1</v>
      </c>
      <c r="O59" s="6">
        <f>IFERROR(__xludf.DUMMYFUNCTION("IF(REGEXMATCH(I59,""Networking""),1,0)
"),0.0)</f>
        <v>0</v>
      </c>
      <c r="P59" s="6">
        <f>IFERROR(__xludf.DUMMYFUNCTION("IF(REGEXMATCH(I59,""Switch Career""),1,0)
"),0.0)</f>
        <v>0</v>
      </c>
    </row>
    <row r="60" ht="22.5" customHeight="1">
      <c r="A60" s="3">
        <v>46055.865476770836</v>
      </c>
      <c r="B60" s="5" t="s">
        <v>316</v>
      </c>
      <c r="C60" s="5" t="s">
        <v>317</v>
      </c>
      <c r="D60" s="4" t="s">
        <v>318</v>
      </c>
      <c r="E60" s="5" t="s">
        <v>92</v>
      </c>
      <c r="F60" s="5" t="s">
        <v>49</v>
      </c>
      <c r="G60" s="5" t="s">
        <v>319</v>
      </c>
      <c r="H60" s="5" t="s">
        <v>320</v>
      </c>
      <c r="I60" s="5" t="s">
        <v>23</v>
      </c>
      <c r="J60" s="5" t="s">
        <v>24</v>
      </c>
      <c r="K60" s="10" t="str">
        <f t="shared" si="1"/>
        <v>089669232481</v>
      </c>
      <c r="L60" s="10" t="str">
        <f>IFERROR(
VLOOKUP(
TRIM(
IF(ISNUMBER(FIND(",",E60)),
LEFT(E60,FIND(",",E60)-1),
E60
)
),
master!A:B,
2,
FALSE
),
"Belum ada mapping"
)
</f>
        <v>Jawa Barat</v>
      </c>
      <c r="M60" s="10">
        <f>IFERROR(__xludf.DUMMYFUNCTION("IF(REGEXMATCH(I60,""Cari Kerja""),1,0)
"),1.0)</f>
        <v>1</v>
      </c>
      <c r="N60" s="10">
        <f>IFERROR(__xludf.DUMMYFUNCTION("IF(REGEXMATCH(I60,""Upskill""),1,0)
"),1.0)</f>
        <v>1</v>
      </c>
      <c r="O60" s="10">
        <f>IFERROR(__xludf.DUMMYFUNCTION("IF(REGEXMATCH(I60,""Networking""),1,0)
"),1.0)</f>
        <v>1</v>
      </c>
      <c r="P60" s="10">
        <f>IFERROR(__xludf.DUMMYFUNCTION("IF(REGEXMATCH(I60,""Switch Career""),1,0)
"),0.0)</f>
        <v>0</v>
      </c>
    </row>
    <row r="61" ht="22.5" customHeight="1">
      <c r="A61" s="3">
        <v>46042.55639690973</v>
      </c>
      <c r="B61" s="5" t="s">
        <v>321</v>
      </c>
      <c r="C61" s="5" t="s">
        <v>322</v>
      </c>
      <c r="D61" s="4" t="s">
        <v>323</v>
      </c>
      <c r="E61" s="5" t="s">
        <v>207</v>
      </c>
      <c r="F61" s="5" t="s">
        <v>49</v>
      </c>
      <c r="G61" s="5" t="s">
        <v>324</v>
      </c>
      <c r="H61" s="5" t="s">
        <v>325</v>
      </c>
      <c r="I61" s="5" t="s">
        <v>59</v>
      </c>
      <c r="J61" s="5" t="s">
        <v>24</v>
      </c>
      <c r="K61" s="6" t="str">
        <f t="shared" si="1"/>
        <v>08119365633</v>
      </c>
      <c r="L61" s="6" t="str">
        <f>IFERROR(
VLOOKUP(
TRIM(
IF(ISNUMBER(FIND(",",E61)),
LEFT(E61,FIND(",",E61)-1),
E61
)
),
master!A:B,
2,
FALSE
),
"Belum ada mapping"
)
</f>
        <v>Jakarta</v>
      </c>
      <c r="M61" s="6">
        <f>IFERROR(__xludf.DUMMYFUNCTION("IF(REGEXMATCH(I61,""Cari Kerja""),1,0)
"),0.0)</f>
        <v>0</v>
      </c>
      <c r="N61" s="6">
        <f>IFERROR(__xludf.DUMMYFUNCTION("IF(REGEXMATCH(I61,""Upskill""),1,0)
"),1.0)</f>
        <v>1</v>
      </c>
      <c r="O61" s="6">
        <f>IFERROR(__xludf.DUMMYFUNCTION("IF(REGEXMATCH(I61,""Networking""),1,0)
"),1.0)</f>
        <v>1</v>
      </c>
      <c r="P61" s="6">
        <f>IFERROR(__xludf.DUMMYFUNCTION("IF(REGEXMATCH(I61,""Switch Career""),1,0)
"),0.0)</f>
        <v>0</v>
      </c>
    </row>
    <row r="62" ht="22.5" customHeight="1">
      <c r="A62" s="3">
        <v>46046.37222564815</v>
      </c>
      <c r="B62" s="5" t="s">
        <v>321</v>
      </c>
      <c r="C62" s="5" t="s">
        <v>322</v>
      </c>
      <c r="D62" s="4" t="s">
        <v>326</v>
      </c>
      <c r="E62" s="5" t="s">
        <v>327</v>
      </c>
      <c r="F62" s="5" t="s">
        <v>49</v>
      </c>
      <c r="G62" s="5" t="s">
        <v>328</v>
      </c>
      <c r="H62" s="5" t="s">
        <v>329</v>
      </c>
      <c r="I62" s="5" t="s">
        <v>14</v>
      </c>
      <c r="J62" s="5" t="s">
        <v>24</v>
      </c>
      <c r="K62" s="6" t="str">
        <f t="shared" si="1"/>
        <v>081219365633</v>
      </c>
      <c r="L62" s="6" t="str">
        <f>IFERROR(
VLOOKUP(
TRIM(
IF(ISNUMBER(FIND(",",E62)),
LEFT(E62,FIND(",",E62)-1),
E62
)
),
master!A:B,
2,
FALSE
),
"Belum ada mapping"
)
</f>
        <v>Jakarta</v>
      </c>
      <c r="M62" s="6">
        <f>IFERROR(__xludf.DUMMYFUNCTION("IF(REGEXMATCH(I62,""Cari Kerja""),1,0)
"),0.0)</f>
        <v>0</v>
      </c>
      <c r="N62" s="6">
        <f>IFERROR(__xludf.DUMMYFUNCTION("IF(REGEXMATCH(I62,""Upskill""),1,0)
"),0.0)</f>
        <v>0</v>
      </c>
      <c r="O62" s="6">
        <f>IFERROR(__xludf.DUMMYFUNCTION("IF(REGEXMATCH(I62,""Networking""),1,0)
"),1.0)</f>
        <v>1</v>
      </c>
      <c r="P62" s="6">
        <f>IFERROR(__xludf.DUMMYFUNCTION("IF(REGEXMATCH(I62,""Switch Career""),1,0)
"),0.0)</f>
        <v>0</v>
      </c>
    </row>
    <row r="63" ht="22.5" customHeight="1">
      <c r="A63" s="7">
        <v>46040.48477149305</v>
      </c>
      <c r="B63" s="8" t="s">
        <v>330</v>
      </c>
      <c r="C63" s="8" t="s">
        <v>331</v>
      </c>
      <c r="D63" s="9" t="s">
        <v>332</v>
      </c>
      <c r="E63" s="8" t="s">
        <v>333</v>
      </c>
      <c r="F63" s="8" t="s">
        <v>49</v>
      </c>
      <c r="G63" s="8" t="s">
        <v>334</v>
      </c>
      <c r="H63" s="8" t="s">
        <v>335</v>
      </c>
      <c r="I63" s="8" t="s">
        <v>13</v>
      </c>
      <c r="J63" s="8" t="s">
        <v>24</v>
      </c>
      <c r="K63" s="6" t="str">
        <f t="shared" si="1"/>
        <v>082331360179</v>
      </c>
      <c r="L63" s="6" t="str">
        <f>IFERROR(
VLOOKUP(
TRIM(
IF(ISNUMBER(FIND(",",E63)),
LEFT(E63,FIND(",",E63)-1),
E63
)
),
master!A:B,
2,
FALSE
),
"Belum ada mapping"
)
</f>
        <v>Jawa Timur</v>
      </c>
      <c r="M63" s="6">
        <f>IFERROR(__xludf.DUMMYFUNCTION("IF(REGEXMATCH(I63,""Cari Kerja""),1,0)
"),0.0)</f>
        <v>0</v>
      </c>
      <c r="N63" s="6">
        <f>IFERROR(__xludf.DUMMYFUNCTION("IF(REGEXMATCH(I63,""Upskill""),1,0)
"),1.0)</f>
        <v>1</v>
      </c>
      <c r="O63" s="6">
        <f>IFERROR(__xludf.DUMMYFUNCTION("IF(REGEXMATCH(I63,""Networking""),1,0)
"),0.0)</f>
        <v>0</v>
      </c>
      <c r="P63" s="6">
        <f>IFERROR(__xludf.DUMMYFUNCTION("IF(REGEXMATCH(I63,""Switch Career""),1,0)
"),0.0)</f>
        <v>0</v>
      </c>
    </row>
    <row r="64" ht="22.5" customHeight="1">
      <c r="A64" s="3">
        <v>46042.825865011575</v>
      </c>
      <c r="B64" s="5" t="s">
        <v>336</v>
      </c>
      <c r="C64" s="5" t="s">
        <v>337</v>
      </c>
      <c r="D64" s="4" t="s">
        <v>338</v>
      </c>
      <c r="E64" s="5" t="s">
        <v>207</v>
      </c>
      <c r="F64" s="5" t="s">
        <v>49</v>
      </c>
      <c r="G64" s="5" t="s">
        <v>339</v>
      </c>
      <c r="H64" s="5" t="s">
        <v>340</v>
      </c>
      <c r="I64" s="5" t="s">
        <v>59</v>
      </c>
      <c r="J64" s="5" t="s">
        <v>24</v>
      </c>
      <c r="K64" s="6" t="str">
        <f t="shared" si="1"/>
        <v>085179802420</v>
      </c>
      <c r="L64" s="6" t="str">
        <f>IFERROR(
VLOOKUP(
TRIM(
IF(ISNUMBER(FIND(",",E64)),
LEFT(E64,FIND(",",E64)-1),
E64
)
),
master!A:B,
2,
FALSE
),
"Belum ada mapping"
)
</f>
        <v>Jakarta</v>
      </c>
      <c r="M64" s="6">
        <f>IFERROR(__xludf.DUMMYFUNCTION("IF(REGEXMATCH(I64,""Cari Kerja""),1,0)
"),0.0)</f>
        <v>0</v>
      </c>
      <c r="N64" s="6">
        <f>IFERROR(__xludf.DUMMYFUNCTION("IF(REGEXMATCH(I64,""Upskill""),1,0)
"),1.0)</f>
        <v>1</v>
      </c>
      <c r="O64" s="6">
        <f>IFERROR(__xludf.DUMMYFUNCTION("IF(REGEXMATCH(I64,""Networking""),1,0)
"),1.0)</f>
        <v>1</v>
      </c>
      <c r="P64" s="6">
        <f>IFERROR(__xludf.DUMMYFUNCTION("IF(REGEXMATCH(I64,""Switch Career""),1,0)
"),0.0)</f>
        <v>0</v>
      </c>
    </row>
    <row r="65" ht="22.5" customHeight="1">
      <c r="A65" s="3">
        <v>46042.66320401621</v>
      </c>
      <c r="B65" s="5" t="s">
        <v>341</v>
      </c>
      <c r="C65" s="5" t="s">
        <v>342</v>
      </c>
      <c r="D65" s="4" t="s">
        <v>343</v>
      </c>
      <c r="E65" s="5" t="s">
        <v>344</v>
      </c>
      <c r="F65" s="5" t="s">
        <v>20</v>
      </c>
      <c r="G65" s="5" t="s">
        <v>345</v>
      </c>
      <c r="H65" s="5" t="s">
        <v>346</v>
      </c>
      <c r="I65" s="5" t="s">
        <v>31</v>
      </c>
      <c r="J65" s="5" t="s">
        <v>38</v>
      </c>
      <c r="K65" s="6" t="str">
        <f t="shared" si="1"/>
        <v>085325110545</v>
      </c>
      <c r="L65" s="6" t="str">
        <f>IFERROR(
VLOOKUP(
TRIM(
IF(ISNUMBER(FIND(",",E65)),
LEFT(E65,FIND(",",E65)-1),
E65
)
),
master!A:B,
2,
FALSE
),
"Belum ada mapping"
)
</f>
        <v>Jawa Timur</v>
      </c>
      <c r="M65" s="6">
        <f>IFERROR(__xludf.DUMMYFUNCTION("IF(REGEXMATCH(I65,""Cari Kerja""),1,0)
"),1.0)</f>
        <v>1</v>
      </c>
      <c r="N65" s="6">
        <f>IFERROR(__xludf.DUMMYFUNCTION("IF(REGEXMATCH(I65,""Upskill""),1,0)
"),1.0)</f>
        <v>1</v>
      </c>
      <c r="O65" s="6">
        <f>IFERROR(__xludf.DUMMYFUNCTION("IF(REGEXMATCH(I65,""Networking""),1,0)
"),1.0)</f>
        <v>1</v>
      </c>
      <c r="P65" s="6">
        <f>IFERROR(__xludf.DUMMYFUNCTION("IF(REGEXMATCH(I65,""Switch Career""),1,0)
"),1.0)</f>
        <v>1</v>
      </c>
    </row>
    <row r="66" ht="22.5" customHeight="1">
      <c r="A66" s="3">
        <v>46044.321316898146</v>
      </c>
      <c r="B66" s="5" t="s">
        <v>347</v>
      </c>
      <c r="C66" s="5" t="s">
        <v>348</v>
      </c>
      <c r="D66" s="4" t="s">
        <v>349</v>
      </c>
      <c r="E66" s="5" t="s">
        <v>74</v>
      </c>
      <c r="F66" s="5" t="s">
        <v>20</v>
      </c>
      <c r="G66" s="5" t="s">
        <v>350</v>
      </c>
      <c r="H66" s="5" t="s">
        <v>351</v>
      </c>
      <c r="I66" s="5" t="s">
        <v>31</v>
      </c>
      <c r="J66" s="5" t="s">
        <v>24</v>
      </c>
      <c r="K66" s="6" t="str">
        <f t="shared" si="1"/>
        <v>085156374617</v>
      </c>
      <c r="L66" s="6" t="str">
        <f>IFERROR(
VLOOKUP(
TRIM(
IF(ISNUMBER(FIND(",",E66)),
LEFT(E66,FIND(",",E66)-1),
E66
)
),
master!A:B,
2,
FALSE
),
"Belum ada mapping"
)
</f>
        <v>Banten</v>
      </c>
      <c r="M66" s="6">
        <f>IFERROR(__xludf.DUMMYFUNCTION("IF(REGEXMATCH(I66,""Cari Kerja""),1,0)
"),1.0)</f>
        <v>1</v>
      </c>
      <c r="N66" s="6">
        <f>IFERROR(__xludf.DUMMYFUNCTION("IF(REGEXMATCH(I66,""Upskill""),1,0)
"),1.0)</f>
        <v>1</v>
      </c>
      <c r="O66" s="6">
        <f>IFERROR(__xludf.DUMMYFUNCTION("IF(REGEXMATCH(I66,""Networking""),1,0)
"),1.0)</f>
        <v>1</v>
      </c>
      <c r="P66" s="6">
        <f>IFERROR(__xludf.DUMMYFUNCTION("IF(REGEXMATCH(I66,""Switch Career""),1,0)
"),1.0)</f>
        <v>1</v>
      </c>
    </row>
    <row r="67" ht="22.5" customHeight="1">
      <c r="A67" s="7">
        <v>46040.35951145833</v>
      </c>
      <c r="B67" s="8" t="s">
        <v>352</v>
      </c>
      <c r="C67" s="8" t="s">
        <v>353</v>
      </c>
      <c r="D67" s="9" t="s">
        <v>354</v>
      </c>
      <c r="E67" s="8" t="s">
        <v>355</v>
      </c>
      <c r="F67" s="8" t="s">
        <v>20</v>
      </c>
      <c r="G67" s="8" t="s">
        <v>356</v>
      </c>
      <c r="H67" s="8" t="s">
        <v>225</v>
      </c>
      <c r="I67" s="8" t="s">
        <v>23</v>
      </c>
      <c r="J67" s="8" t="s">
        <v>24</v>
      </c>
      <c r="K67" s="6" t="str">
        <f t="shared" si="1"/>
        <v>083854425802</v>
      </c>
      <c r="L67" s="6" t="str">
        <f>IFERROR(
VLOOKUP(
TRIM(
IF(ISNUMBER(FIND(",",E67)),
LEFT(E67,FIND(",",E67)-1),
E67
)
),
master!A:B,
2,
FALSE
),
"Belum ada mapping"
)
</f>
        <v>Jawa Timur</v>
      </c>
      <c r="M67" s="6">
        <f>IFERROR(__xludf.DUMMYFUNCTION("IF(REGEXMATCH(I67,""Cari Kerja""),1,0)
"),1.0)</f>
        <v>1</v>
      </c>
      <c r="N67" s="6">
        <f>IFERROR(__xludf.DUMMYFUNCTION("IF(REGEXMATCH(I67,""Upskill""),1,0)
"),1.0)</f>
        <v>1</v>
      </c>
      <c r="O67" s="6">
        <f>IFERROR(__xludf.DUMMYFUNCTION("IF(REGEXMATCH(I67,""Networking""),1,0)
"),1.0)</f>
        <v>1</v>
      </c>
      <c r="P67" s="6">
        <f>IFERROR(__xludf.DUMMYFUNCTION("IF(REGEXMATCH(I67,""Switch Career""),1,0)
"),0.0)</f>
        <v>0</v>
      </c>
    </row>
    <row r="68" ht="22.5" customHeight="1">
      <c r="A68" s="3">
        <v>46051.60143009259</v>
      </c>
      <c r="B68" s="5" t="s">
        <v>357</v>
      </c>
      <c r="C68" s="5" t="s">
        <v>358</v>
      </c>
      <c r="D68" s="4" t="s">
        <v>359</v>
      </c>
      <c r="E68" s="5" t="s">
        <v>35</v>
      </c>
      <c r="F68" s="5" t="s">
        <v>20</v>
      </c>
      <c r="G68" s="5" t="s">
        <v>360</v>
      </c>
      <c r="H68" s="5" t="s">
        <v>51</v>
      </c>
      <c r="I68" s="5" t="s">
        <v>23</v>
      </c>
      <c r="J68" s="5" t="s">
        <v>24</v>
      </c>
      <c r="K68" s="10" t="str">
        <f t="shared" si="1"/>
        <v>088985245151</v>
      </c>
      <c r="L68" s="10" t="str">
        <f>IFERROR(
VLOOKUP(
TRIM(
IF(ISNUMBER(FIND(",",E68)),
LEFT(E68,FIND(",",E68)-1),
E68
)
),
master!A:B,
2,
FALSE
),
"Belum ada mapping"
)
</f>
        <v>Jawa Timur</v>
      </c>
      <c r="M68" s="10">
        <f>IFERROR(__xludf.DUMMYFUNCTION("IF(REGEXMATCH(I68,""Cari Kerja""),1,0)
"),1.0)</f>
        <v>1</v>
      </c>
      <c r="N68" s="10">
        <f>IFERROR(__xludf.DUMMYFUNCTION("IF(REGEXMATCH(I68,""Upskill""),1,0)
"),1.0)</f>
        <v>1</v>
      </c>
      <c r="O68" s="10">
        <f>IFERROR(__xludf.DUMMYFUNCTION("IF(REGEXMATCH(I68,""Networking""),1,0)
"),1.0)</f>
        <v>1</v>
      </c>
      <c r="P68" s="10">
        <f>IFERROR(__xludf.DUMMYFUNCTION("IF(REGEXMATCH(I68,""Switch Career""),1,0)
"),0.0)</f>
        <v>0</v>
      </c>
    </row>
    <row r="69" ht="22.5" customHeight="1">
      <c r="A69" s="3">
        <v>46041.69268813657</v>
      </c>
      <c r="B69" s="5" t="s">
        <v>361</v>
      </c>
      <c r="C69" s="5" t="s">
        <v>362</v>
      </c>
      <c r="D69" s="4" t="s">
        <v>363</v>
      </c>
      <c r="E69" s="5" t="s">
        <v>364</v>
      </c>
      <c r="F69" s="5" t="s">
        <v>49</v>
      </c>
      <c r="G69" s="5" t="s">
        <v>365</v>
      </c>
      <c r="H69" s="5" t="s">
        <v>187</v>
      </c>
      <c r="I69" s="5" t="s">
        <v>59</v>
      </c>
      <c r="J69" s="5" t="s">
        <v>24</v>
      </c>
      <c r="K69" s="6" t="str">
        <f t="shared" si="1"/>
        <v>082321118508</v>
      </c>
      <c r="L69" s="6" t="str">
        <f>IFERROR(
VLOOKUP(
TRIM(
IF(ISNUMBER(FIND(",",E69)),
LEFT(E69,FIND(",",E69)-1),
E69
)
),
master!A:B,
2,
FALSE
),
"Belum ada mapping"
)
</f>
        <v>Jakarta</v>
      </c>
      <c r="M69" s="6">
        <f>IFERROR(__xludf.DUMMYFUNCTION("IF(REGEXMATCH(I69,""Cari Kerja""),1,0)
"),0.0)</f>
        <v>0</v>
      </c>
      <c r="N69" s="6">
        <f>IFERROR(__xludf.DUMMYFUNCTION("IF(REGEXMATCH(I69,""Upskill""),1,0)
"),1.0)</f>
        <v>1</v>
      </c>
      <c r="O69" s="6">
        <f>IFERROR(__xludf.DUMMYFUNCTION("IF(REGEXMATCH(I69,""Networking""),1,0)
"),1.0)</f>
        <v>1</v>
      </c>
      <c r="P69" s="6">
        <f>IFERROR(__xludf.DUMMYFUNCTION("IF(REGEXMATCH(I69,""Switch Career""),1,0)
"),0.0)</f>
        <v>0</v>
      </c>
    </row>
    <row r="70" ht="22.5" customHeight="1">
      <c r="A70" s="7">
        <v>46040.35907358796</v>
      </c>
      <c r="B70" s="8" t="s">
        <v>366</v>
      </c>
      <c r="C70" s="8" t="s">
        <v>367</v>
      </c>
      <c r="D70" s="9" t="s">
        <v>368</v>
      </c>
      <c r="E70" s="8" t="s">
        <v>42</v>
      </c>
      <c r="F70" s="8" t="s">
        <v>49</v>
      </c>
      <c r="G70" s="8" t="s">
        <v>369</v>
      </c>
      <c r="H70" s="8" t="s">
        <v>370</v>
      </c>
      <c r="I70" s="8" t="s">
        <v>59</v>
      </c>
      <c r="J70" s="8" t="s">
        <v>24</v>
      </c>
      <c r="K70" s="6" t="str">
        <f t="shared" si="1"/>
        <v>087808009547</v>
      </c>
      <c r="L70" s="6" t="str">
        <f>IFERROR(
VLOOKUP(
TRIM(
IF(ISNUMBER(FIND(",",E70)),
LEFT(E70,FIND(",",E70)-1),
E70
)
),
master!A:B,
2,
FALSE
),
"Belum ada mapping"
)
</f>
        <v>Jawa Barat</v>
      </c>
      <c r="M70" s="6">
        <f>IFERROR(__xludf.DUMMYFUNCTION("IF(REGEXMATCH(I70,""Cari Kerja""),1,0)
"),0.0)</f>
        <v>0</v>
      </c>
      <c r="N70" s="6">
        <f>IFERROR(__xludf.DUMMYFUNCTION("IF(REGEXMATCH(I70,""Upskill""),1,0)
"),1.0)</f>
        <v>1</v>
      </c>
      <c r="O70" s="6">
        <f>IFERROR(__xludf.DUMMYFUNCTION("IF(REGEXMATCH(I70,""Networking""),1,0)
"),1.0)</f>
        <v>1</v>
      </c>
      <c r="P70" s="6">
        <f>IFERROR(__xludf.DUMMYFUNCTION("IF(REGEXMATCH(I70,""Switch Career""),1,0)
"),0.0)</f>
        <v>0</v>
      </c>
    </row>
    <row r="71" ht="22.5" customHeight="1">
      <c r="A71" s="3">
        <v>46042.79395078703</v>
      </c>
      <c r="B71" s="5" t="s">
        <v>371</v>
      </c>
      <c r="C71" s="5" t="s">
        <v>372</v>
      </c>
      <c r="D71" s="4" t="s">
        <v>373</v>
      </c>
      <c r="E71" s="5" t="s">
        <v>207</v>
      </c>
      <c r="F71" s="5" t="s">
        <v>20</v>
      </c>
      <c r="G71" s="5" t="s">
        <v>21</v>
      </c>
      <c r="H71" s="5" t="s">
        <v>346</v>
      </c>
      <c r="I71" s="5" t="s">
        <v>59</v>
      </c>
      <c r="J71" s="5" t="s">
        <v>24</v>
      </c>
      <c r="K71" s="6" t="str">
        <f t="shared" si="1"/>
        <v>082187775702</v>
      </c>
      <c r="L71" s="6" t="str">
        <f>IFERROR(
VLOOKUP(
TRIM(
IF(ISNUMBER(FIND(",",E71)),
LEFT(E71,FIND(",",E71)-1),
E71
)
),
master!A:B,
2,
FALSE
),
"Belum ada mapping"
)
</f>
        <v>Jakarta</v>
      </c>
      <c r="M71" s="6">
        <f>IFERROR(__xludf.DUMMYFUNCTION("IF(REGEXMATCH(I71,""Cari Kerja""),1,0)
"),0.0)</f>
        <v>0</v>
      </c>
      <c r="N71" s="6">
        <f>IFERROR(__xludf.DUMMYFUNCTION("IF(REGEXMATCH(I71,""Upskill""),1,0)
"),1.0)</f>
        <v>1</v>
      </c>
      <c r="O71" s="6">
        <f>IFERROR(__xludf.DUMMYFUNCTION("IF(REGEXMATCH(I71,""Networking""),1,0)
"),1.0)</f>
        <v>1</v>
      </c>
      <c r="P71" s="6">
        <f>IFERROR(__xludf.DUMMYFUNCTION("IF(REGEXMATCH(I71,""Switch Career""),1,0)
"),0.0)</f>
        <v>0</v>
      </c>
    </row>
    <row r="72" ht="22.5" customHeight="1">
      <c r="A72" s="3">
        <v>46041.46408857639</v>
      </c>
      <c r="B72" s="5" t="s">
        <v>374</v>
      </c>
      <c r="C72" s="5" t="s">
        <v>375</v>
      </c>
      <c r="D72" s="4" t="s">
        <v>376</v>
      </c>
      <c r="E72" s="5" t="s">
        <v>92</v>
      </c>
      <c r="F72" s="5" t="s">
        <v>49</v>
      </c>
      <c r="G72" s="5" t="s">
        <v>377</v>
      </c>
      <c r="H72" s="5" t="s">
        <v>37</v>
      </c>
      <c r="I72" s="5" t="s">
        <v>31</v>
      </c>
      <c r="J72" s="5" t="s">
        <v>24</v>
      </c>
      <c r="K72" s="6" t="str">
        <f t="shared" si="1"/>
        <v>085159030133</v>
      </c>
      <c r="L72" s="6" t="str">
        <f>IFERROR(
VLOOKUP(
TRIM(
IF(ISNUMBER(FIND(",",E72)),
LEFT(E72,FIND(",",E72)-1),
E72
)
),
master!A:B,
2,
FALSE
),
"Belum ada mapping"
)
</f>
        <v>Jawa Barat</v>
      </c>
      <c r="M72" s="6">
        <f>IFERROR(__xludf.DUMMYFUNCTION("IF(REGEXMATCH(I72,""Cari Kerja""),1,0)
"),1.0)</f>
        <v>1</v>
      </c>
      <c r="N72" s="6">
        <f>IFERROR(__xludf.DUMMYFUNCTION("IF(REGEXMATCH(I72,""Upskill""),1,0)
"),1.0)</f>
        <v>1</v>
      </c>
      <c r="O72" s="6">
        <f>IFERROR(__xludf.DUMMYFUNCTION("IF(REGEXMATCH(I72,""Networking""),1,0)
"),1.0)</f>
        <v>1</v>
      </c>
      <c r="P72" s="6">
        <f>IFERROR(__xludf.DUMMYFUNCTION("IF(REGEXMATCH(I72,""Switch Career""),1,0)
"),1.0)</f>
        <v>1</v>
      </c>
    </row>
    <row r="73" ht="22.5" customHeight="1">
      <c r="A73" s="3">
        <v>46047.77907773148</v>
      </c>
      <c r="B73" s="5" t="s">
        <v>378</v>
      </c>
      <c r="C73" s="5" t="s">
        <v>379</v>
      </c>
      <c r="D73" s="4" t="s">
        <v>380</v>
      </c>
      <c r="E73" s="5" t="s">
        <v>381</v>
      </c>
      <c r="F73" s="5" t="s">
        <v>20</v>
      </c>
      <c r="G73" s="5" t="s">
        <v>69</v>
      </c>
      <c r="H73" s="5" t="s">
        <v>187</v>
      </c>
      <c r="I73" s="5" t="s">
        <v>59</v>
      </c>
      <c r="J73" s="5" t="s">
        <v>38</v>
      </c>
      <c r="K73" s="6" t="str">
        <f t="shared" si="1"/>
        <v>085821913174</v>
      </c>
      <c r="L73" s="6" t="str">
        <f>IFERROR(
VLOOKUP(
TRIM(
IF(ISNUMBER(FIND(",",E73)),
LEFT(E73,FIND(",",E73)-1),
E73
)
),
master!A:B,
2,
FALSE
),
"Belum ada mapping"
)
</f>
        <v>Kalimantan Tengah </v>
      </c>
      <c r="M73" s="6">
        <f>IFERROR(__xludf.DUMMYFUNCTION("IF(REGEXMATCH(I73,""Cari Kerja""),1,0)
"),0.0)</f>
        <v>0</v>
      </c>
      <c r="N73" s="6">
        <f>IFERROR(__xludf.DUMMYFUNCTION("IF(REGEXMATCH(I73,""Upskill""),1,0)
"),1.0)</f>
        <v>1</v>
      </c>
      <c r="O73" s="6">
        <f>IFERROR(__xludf.DUMMYFUNCTION("IF(REGEXMATCH(I73,""Networking""),1,0)
"),1.0)</f>
        <v>1</v>
      </c>
      <c r="P73" s="6">
        <f>IFERROR(__xludf.DUMMYFUNCTION("IF(REGEXMATCH(I73,""Switch Career""),1,0)
"),0.0)</f>
        <v>0</v>
      </c>
    </row>
    <row r="74" ht="22.5" customHeight="1">
      <c r="A74" s="7">
        <v>46041.41572603009</v>
      </c>
      <c r="B74" s="8" t="s">
        <v>382</v>
      </c>
      <c r="C74" s="8" t="s">
        <v>383</v>
      </c>
      <c r="D74" s="9" t="s">
        <v>384</v>
      </c>
      <c r="E74" s="8" t="s">
        <v>385</v>
      </c>
      <c r="F74" s="8" t="s">
        <v>49</v>
      </c>
      <c r="G74" s="8">
        <v>0.0</v>
      </c>
      <c r="H74" s="8" t="s">
        <v>351</v>
      </c>
      <c r="I74" s="8" t="s">
        <v>23</v>
      </c>
      <c r="J74" s="8" t="s">
        <v>24</v>
      </c>
      <c r="K74" s="6" t="str">
        <f t="shared" si="1"/>
        <v>082155892535</v>
      </c>
      <c r="L74" s="6" t="str">
        <f>IFERROR(
VLOOKUP(
TRIM(
IF(ISNUMBER(FIND(",",E74)),
LEFT(E74,FIND(",",E74)-1),
E74
)
),
master!A:B,
2,
FALSE
),
"Belum ada mapping"
)
</f>
        <v>Kalimantan Timur</v>
      </c>
      <c r="M74" s="6">
        <f>IFERROR(__xludf.DUMMYFUNCTION("IF(REGEXMATCH(I74,""Cari Kerja""),1,0)
"),1.0)</f>
        <v>1</v>
      </c>
      <c r="N74" s="6">
        <f>IFERROR(__xludf.DUMMYFUNCTION("IF(REGEXMATCH(I74,""Upskill""),1,0)
"),1.0)</f>
        <v>1</v>
      </c>
      <c r="O74" s="6">
        <f>IFERROR(__xludf.DUMMYFUNCTION("IF(REGEXMATCH(I74,""Networking""),1,0)
"),1.0)</f>
        <v>1</v>
      </c>
      <c r="P74" s="6">
        <f>IFERROR(__xludf.DUMMYFUNCTION("IF(REGEXMATCH(I74,""Switch Career""),1,0)
"),0.0)</f>
        <v>0</v>
      </c>
    </row>
    <row r="75" ht="22.5" customHeight="1">
      <c r="A75" s="3">
        <v>46065.787571574074</v>
      </c>
      <c r="B75" s="5" t="s">
        <v>386</v>
      </c>
      <c r="C75" s="5" t="s">
        <v>387</v>
      </c>
      <c r="D75" s="4" t="s">
        <v>388</v>
      </c>
      <c r="E75" s="5" t="s">
        <v>389</v>
      </c>
      <c r="F75" s="5" t="s">
        <v>49</v>
      </c>
      <c r="G75" s="5" t="s">
        <v>390</v>
      </c>
      <c r="H75" s="5" t="s">
        <v>391</v>
      </c>
      <c r="I75" s="5" t="s">
        <v>59</v>
      </c>
      <c r="J75" s="5" t="s">
        <v>24</v>
      </c>
      <c r="K75" s="10" t="str">
        <f t="shared" si="1"/>
        <v>085363008069</v>
      </c>
      <c r="L75" s="10" t="str">
        <f>IFERROR(
VLOOKUP(
TRIM(
IF(ISNUMBER(FIND(",",E75)),
LEFT(E75,FIND(",",E75)-1),
E75
)
),
master!A:B,
2,
FALSE
),
"Belum ada mapping"
)
</f>
        <v>Kalimantan Selatan</v>
      </c>
      <c r="M75" s="10">
        <f>IFERROR(__xludf.DUMMYFUNCTION("IF(REGEXMATCH(I75,""Cari Kerja""),1,0)
"),0.0)</f>
        <v>0</v>
      </c>
      <c r="N75" s="10">
        <f>IFERROR(__xludf.DUMMYFUNCTION("IF(REGEXMATCH(I75,""Upskill""),1,0)
"),1.0)</f>
        <v>1</v>
      </c>
      <c r="O75" s="10">
        <f>IFERROR(__xludf.DUMMYFUNCTION("IF(REGEXMATCH(I75,""Networking""),1,0)
"),1.0)</f>
        <v>1</v>
      </c>
      <c r="P75" s="10">
        <f>IFERROR(__xludf.DUMMYFUNCTION("IF(REGEXMATCH(I75,""Switch Career""),1,0)
"),0.0)</f>
        <v>0</v>
      </c>
    </row>
    <row r="76" ht="22.5" customHeight="1">
      <c r="A76" s="7">
        <v>46041.42356876157</v>
      </c>
      <c r="B76" s="8" t="s">
        <v>392</v>
      </c>
      <c r="C76" s="8" t="s">
        <v>393</v>
      </c>
      <c r="D76" s="9" t="s">
        <v>394</v>
      </c>
      <c r="E76" s="8" t="s">
        <v>113</v>
      </c>
      <c r="F76" s="8" t="s">
        <v>49</v>
      </c>
      <c r="G76" s="8" t="s">
        <v>395</v>
      </c>
      <c r="H76" s="8" t="s">
        <v>396</v>
      </c>
      <c r="I76" s="8" t="s">
        <v>13</v>
      </c>
      <c r="J76" s="8" t="s">
        <v>24</v>
      </c>
      <c r="K76" s="6" t="str">
        <f t="shared" si="1"/>
        <v>0895321338951</v>
      </c>
      <c r="L76" s="6" t="str">
        <f>IFERROR(
VLOOKUP(
TRIM(
IF(ISNUMBER(FIND(",",E76)),
LEFT(E76,FIND(",",E76)-1),
E76
)
),
master!A:B,
2,
FALSE
),
"Belum ada mapping"
)
</f>
        <v>Sumatera Utara</v>
      </c>
      <c r="M76" s="6">
        <f>IFERROR(__xludf.DUMMYFUNCTION("IF(REGEXMATCH(I76,""Cari Kerja""),1,0)
"),0.0)</f>
        <v>0</v>
      </c>
      <c r="N76" s="6">
        <f>IFERROR(__xludf.DUMMYFUNCTION("IF(REGEXMATCH(I76,""Upskill""),1,0)
"),1.0)</f>
        <v>1</v>
      </c>
      <c r="O76" s="6">
        <f>IFERROR(__xludf.DUMMYFUNCTION("IF(REGEXMATCH(I76,""Networking""),1,0)
"),0.0)</f>
        <v>0</v>
      </c>
      <c r="P76" s="6">
        <f>IFERROR(__xludf.DUMMYFUNCTION("IF(REGEXMATCH(I76,""Switch Career""),1,0)
"),0.0)</f>
        <v>0</v>
      </c>
    </row>
    <row r="77" ht="22.5" customHeight="1">
      <c r="A77" s="3">
        <v>46042.33437700232</v>
      </c>
      <c r="B77" s="5" t="s">
        <v>397</v>
      </c>
      <c r="C77" s="5" t="s">
        <v>398</v>
      </c>
      <c r="D77" s="4" t="s">
        <v>399</v>
      </c>
      <c r="E77" s="5" t="s">
        <v>400</v>
      </c>
      <c r="F77" s="5" t="s">
        <v>20</v>
      </c>
      <c r="G77" s="5" t="s">
        <v>69</v>
      </c>
      <c r="H77" s="5" t="s">
        <v>51</v>
      </c>
      <c r="I77" s="5" t="s">
        <v>23</v>
      </c>
      <c r="J77" s="5" t="s">
        <v>76</v>
      </c>
      <c r="K77" s="6" t="str">
        <f t="shared" si="1"/>
        <v>081818860803</v>
      </c>
      <c r="L77" s="6" t="str">
        <f>IFERROR(
VLOOKUP(
TRIM(
IF(ISNUMBER(FIND(",",E77)),
LEFT(E77,FIND(",",E77)-1),
E77
)
),
master!A:B,
2,
FALSE
),
"Belum ada mapping"
)
</f>
        <v>Jakarta</v>
      </c>
      <c r="M77" s="6">
        <f>IFERROR(__xludf.DUMMYFUNCTION("IF(REGEXMATCH(I77,""Cari Kerja""),1,0)
"),1.0)</f>
        <v>1</v>
      </c>
      <c r="N77" s="6">
        <f>IFERROR(__xludf.DUMMYFUNCTION("IF(REGEXMATCH(I77,""Upskill""),1,0)
"),1.0)</f>
        <v>1</v>
      </c>
      <c r="O77" s="6">
        <f>IFERROR(__xludf.DUMMYFUNCTION("IF(REGEXMATCH(I77,""Networking""),1,0)
"),1.0)</f>
        <v>1</v>
      </c>
      <c r="P77" s="6">
        <f>IFERROR(__xludf.DUMMYFUNCTION("IF(REGEXMATCH(I77,""Switch Career""),1,0)
"),0.0)</f>
        <v>0</v>
      </c>
    </row>
    <row r="78" ht="22.5" customHeight="1">
      <c r="A78" s="7">
        <v>46040.34722740741</v>
      </c>
      <c r="B78" s="8" t="s">
        <v>401</v>
      </c>
      <c r="C78" s="8" t="s">
        <v>402</v>
      </c>
      <c r="D78" s="9" t="s">
        <v>403</v>
      </c>
      <c r="E78" s="8" t="s">
        <v>404</v>
      </c>
      <c r="F78" s="8" t="s">
        <v>49</v>
      </c>
      <c r="G78" s="8" t="s">
        <v>405</v>
      </c>
      <c r="H78" s="8" t="s">
        <v>93</v>
      </c>
      <c r="I78" s="8" t="s">
        <v>12</v>
      </c>
      <c r="J78" s="8" t="s">
        <v>38</v>
      </c>
      <c r="K78" s="6" t="str">
        <f t="shared" si="1"/>
        <v>095190081964</v>
      </c>
      <c r="L78" s="6" t="str">
        <f>IFERROR(
VLOOKUP(
TRIM(
IF(ISNUMBER(FIND(",",E78)),
LEFT(E78,FIND(",",E78)-1),
E78
)
),
master!A:B,
2,
FALSE
),
"Belum ada mapping"
)
</f>
        <v>Sulawesi Selatan</v>
      </c>
      <c r="M78" s="6">
        <f>IFERROR(__xludf.DUMMYFUNCTION("IF(REGEXMATCH(I78,""Cari Kerja""),1,0)
"),1.0)</f>
        <v>1</v>
      </c>
      <c r="N78" s="6">
        <f>IFERROR(__xludf.DUMMYFUNCTION("IF(REGEXMATCH(I78,""Upskill""),1,0)
"),0.0)</f>
        <v>0</v>
      </c>
      <c r="O78" s="6">
        <f>IFERROR(__xludf.DUMMYFUNCTION("IF(REGEXMATCH(I78,""Networking""),1,0)
"),0.0)</f>
        <v>0</v>
      </c>
      <c r="P78" s="6">
        <f>IFERROR(__xludf.DUMMYFUNCTION("IF(REGEXMATCH(I78,""Switch Career""),1,0)
"),0.0)</f>
        <v>0</v>
      </c>
    </row>
    <row r="79" ht="22.5" customHeight="1">
      <c r="A79" s="3">
        <v>46049.71013040509</v>
      </c>
      <c r="B79" s="5" t="s">
        <v>406</v>
      </c>
      <c r="C79" s="5" t="s">
        <v>407</v>
      </c>
      <c r="D79" s="4" t="s">
        <v>408</v>
      </c>
      <c r="E79" s="5" t="s">
        <v>409</v>
      </c>
      <c r="F79" s="5" t="s">
        <v>20</v>
      </c>
      <c r="G79" s="5" t="s">
        <v>410</v>
      </c>
      <c r="H79" s="5" t="s">
        <v>51</v>
      </c>
      <c r="I79" s="5" t="s">
        <v>23</v>
      </c>
      <c r="J79" s="5" t="s">
        <v>24</v>
      </c>
      <c r="K79" s="10" t="str">
        <f t="shared" si="1"/>
        <v>089612128105</v>
      </c>
      <c r="L79" s="10" t="str">
        <f>IFERROR(
VLOOKUP(
TRIM(
IF(ISNUMBER(FIND(",",E79)),
LEFT(E79,FIND(",",E79)-1),
E79
)
),
master!A:B,
2,
FALSE
),
"Belum ada mapping"
)
</f>
        <v>Jawa Tengah</v>
      </c>
      <c r="M79" s="6">
        <f>IFERROR(__xludf.DUMMYFUNCTION("IF(REGEXMATCH(I79,""Cari Kerja""),1,0)
"),1.0)</f>
        <v>1</v>
      </c>
      <c r="N79" s="6">
        <f>IFERROR(__xludf.DUMMYFUNCTION("IF(REGEXMATCH(I79,""Upskill""),1,0)
"),1.0)</f>
        <v>1</v>
      </c>
      <c r="O79" s="6">
        <f>IFERROR(__xludf.DUMMYFUNCTION("IF(REGEXMATCH(I79,""Networking""),1,0)
"),1.0)</f>
        <v>1</v>
      </c>
      <c r="P79" s="6">
        <f>IFERROR(__xludf.DUMMYFUNCTION("IF(REGEXMATCH(I79,""Switch Career""),1,0)
"),0.0)</f>
        <v>0</v>
      </c>
    </row>
    <row r="80" ht="22.5" customHeight="1">
      <c r="A80" s="3">
        <v>46041.82416827546</v>
      </c>
      <c r="B80" s="5" t="s">
        <v>411</v>
      </c>
      <c r="C80" s="5" t="s">
        <v>412</v>
      </c>
      <c r="D80" s="4" t="s">
        <v>413</v>
      </c>
      <c r="E80" s="5" t="s">
        <v>414</v>
      </c>
      <c r="F80" s="5" t="s">
        <v>20</v>
      </c>
      <c r="G80" s="5" t="s">
        <v>415</v>
      </c>
      <c r="H80" s="5" t="s">
        <v>209</v>
      </c>
      <c r="I80" s="5" t="s">
        <v>23</v>
      </c>
      <c r="J80" s="5" t="s">
        <v>24</v>
      </c>
      <c r="K80" s="6" t="str">
        <f t="shared" si="1"/>
        <v>082323403911</v>
      </c>
      <c r="L80" s="6" t="str">
        <f>IFERROR(
VLOOKUP(
TRIM(
IF(ISNUMBER(FIND(",",E80)),
LEFT(E80,FIND(",",E80)-1),
E80
)
),
master!A:B,
2,
FALSE
),
"Belum ada mapping"
)
</f>
        <v>DI Yogyakarta</v>
      </c>
      <c r="M80" s="6">
        <f>IFERROR(__xludf.DUMMYFUNCTION("IF(REGEXMATCH(I80,""Cari Kerja""),1,0)
"),1.0)</f>
        <v>1</v>
      </c>
      <c r="N80" s="6">
        <f>IFERROR(__xludf.DUMMYFUNCTION("IF(REGEXMATCH(I80,""Upskill""),1,0)
"),1.0)</f>
        <v>1</v>
      </c>
      <c r="O80" s="6">
        <f>IFERROR(__xludf.DUMMYFUNCTION("IF(REGEXMATCH(I80,""Networking""),1,0)
"),1.0)</f>
        <v>1</v>
      </c>
      <c r="P80" s="6">
        <f>IFERROR(__xludf.DUMMYFUNCTION("IF(REGEXMATCH(I80,""Switch Career""),1,0)
"),0.0)</f>
        <v>0</v>
      </c>
    </row>
    <row r="81" ht="22.5" customHeight="1">
      <c r="A81" s="3">
        <v>46043.31818966435</v>
      </c>
      <c r="B81" s="5" t="s">
        <v>416</v>
      </c>
      <c r="C81" s="5" t="s">
        <v>417</v>
      </c>
      <c r="D81" s="4" t="s">
        <v>418</v>
      </c>
      <c r="E81" s="5" t="s">
        <v>158</v>
      </c>
      <c r="F81" s="5" t="s">
        <v>49</v>
      </c>
      <c r="G81" s="5" t="s">
        <v>419</v>
      </c>
      <c r="H81" s="5" t="s">
        <v>225</v>
      </c>
      <c r="I81" s="5" t="s">
        <v>23</v>
      </c>
      <c r="J81" s="5" t="s">
        <v>24</v>
      </c>
      <c r="K81" s="6" t="str">
        <f t="shared" si="1"/>
        <v>081318235417</v>
      </c>
      <c r="L81" s="6" t="str">
        <f>IFERROR(
VLOOKUP(
TRIM(
IF(ISNUMBER(FIND(",",E81)),
LEFT(E81,FIND(",",E81)-1),
E81
)
),
master!A:B,
2,
FALSE
),
"Belum ada mapping"
)
</f>
        <v>Jawa Barat</v>
      </c>
      <c r="M81" s="6">
        <f>IFERROR(__xludf.DUMMYFUNCTION("IF(REGEXMATCH(I81,""Cari Kerja""),1,0)
"),1.0)</f>
        <v>1</v>
      </c>
      <c r="N81" s="6">
        <f>IFERROR(__xludf.DUMMYFUNCTION("IF(REGEXMATCH(I81,""Upskill""),1,0)
"),1.0)</f>
        <v>1</v>
      </c>
      <c r="O81" s="6">
        <f>IFERROR(__xludf.DUMMYFUNCTION("IF(REGEXMATCH(I81,""Networking""),1,0)
"),1.0)</f>
        <v>1</v>
      </c>
      <c r="P81" s="6">
        <f>IFERROR(__xludf.DUMMYFUNCTION("IF(REGEXMATCH(I81,""Switch Career""),1,0)
"),0.0)</f>
        <v>0</v>
      </c>
    </row>
    <row r="82" ht="22.5" customHeight="1">
      <c r="A82" s="3">
        <v>46051.42004280092</v>
      </c>
      <c r="B82" s="5" t="s">
        <v>420</v>
      </c>
      <c r="C82" s="5" t="s">
        <v>421</v>
      </c>
      <c r="D82" s="4" t="s">
        <v>422</v>
      </c>
      <c r="E82" s="5" t="s">
        <v>423</v>
      </c>
      <c r="F82" s="5" t="s">
        <v>49</v>
      </c>
      <c r="G82" s="5" t="s">
        <v>424</v>
      </c>
      <c r="H82" s="5" t="s">
        <v>51</v>
      </c>
      <c r="I82" s="5" t="s">
        <v>31</v>
      </c>
      <c r="J82" s="5" t="s">
        <v>76</v>
      </c>
      <c r="K82" s="10" t="str">
        <f t="shared" si="1"/>
        <v>082112015376</v>
      </c>
      <c r="L82" s="10" t="str">
        <f>IFERROR(
VLOOKUP(
TRIM(
IF(ISNUMBER(FIND(",",E82)),
LEFT(E82,FIND(",",E82)-1),
E82
)
),
master!A:B,
2,
FALSE
),
"Belum ada mapping"
)
</f>
        <v>Sumatera Selatan</v>
      </c>
      <c r="M82" s="6">
        <f>IFERROR(__xludf.DUMMYFUNCTION("IF(REGEXMATCH(I82,""Cari Kerja""),1,0)
"),1.0)</f>
        <v>1</v>
      </c>
      <c r="N82" s="6">
        <f>IFERROR(__xludf.DUMMYFUNCTION("IF(REGEXMATCH(I82,""Upskill""),1,0)
"),1.0)</f>
        <v>1</v>
      </c>
      <c r="O82" s="6">
        <f>IFERROR(__xludf.DUMMYFUNCTION("IF(REGEXMATCH(I82,""Networking""),1,0)
"),1.0)</f>
        <v>1</v>
      </c>
      <c r="P82" s="6">
        <f>IFERROR(__xludf.DUMMYFUNCTION("IF(REGEXMATCH(I82,""Switch Career""),1,0)
"),1.0)</f>
        <v>1</v>
      </c>
    </row>
    <row r="83" ht="22.5" customHeight="1">
      <c r="A83" s="7">
        <v>46041.398500138894</v>
      </c>
      <c r="B83" s="8" t="s">
        <v>425</v>
      </c>
      <c r="C83" s="8" t="s">
        <v>426</v>
      </c>
      <c r="D83" s="9" t="s">
        <v>427</v>
      </c>
      <c r="E83" s="8" t="s">
        <v>428</v>
      </c>
      <c r="F83" s="8" t="s">
        <v>49</v>
      </c>
      <c r="G83" s="8" t="s">
        <v>429</v>
      </c>
      <c r="H83" s="8" t="s">
        <v>430</v>
      </c>
      <c r="I83" s="8" t="s">
        <v>13</v>
      </c>
      <c r="J83" s="8" t="s">
        <v>24</v>
      </c>
      <c r="K83" s="6" t="str">
        <f t="shared" si="1"/>
        <v>081347842174</v>
      </c>
      <c r="L83" s="6" t="str">
        <f>IFERROR(
VLOOKUP(
TRIM(
IF(ISNUMBER(FIND(",",E83)),
LEFT(E83,FIND(",",E83)-1),
E83
)
),
master!A:B,
2,
FALSE
),
"Belum ada mapping"
)
</f>
        <v>Kalimantan Timur</v>
      </c>
      <c r="M83" s="6">
        <f>IFERROR(__xludf.DUMMYFUNCTION("IF(REGEXMATCH(I83,""Cari Kerja""),1,0)
"),0.0)</f>
        <v>0</v>
      </c>
      <c r="N83" s="6">
        <f>IFERROR(__xludf.DUMMYFUNCTION("IF(REGEXMATCH(I83,""Upskill""),1,0)
"),1.0)</f>
        <v>1</v>
      </c>
      <c r="O83" s="6">
        <f>IFERROR(__xludf.DUMMYFUNCTION("IF(REGEXMATCH(I83,""Networking""),1,0)
"),0.0)</f>
        <v>0</v>
      </c>
      <c r="P83" s="6">
        <f>IFERROR(__xludf.DUMMYFUNCTION("IF(REGEXMATCH(I83,""Switch Career""),1,0)
"),0.0)</f>
        <v>0</v>
      </c>
    </row>
    <row r="84" ht="22.5" customHeight="1">
      <c r="A84" s="7">
        <v>46040.35497630787</v>
      </c>
      <c r="B84" s="8" t="s">
        <v>431</v>
      </c>
      <c r="C84" s="8" t="s">
        <v>432</v>
      </c>
      <c r="D84" s="9" t="s">
        <v>433</v>
      </c>
      <c r="E84" s="8" t="s">
        <v>174</v>
      </c>
      <c r="F84" s="8" t="s">
        <v>20</v>
      </c>
      <c r="G84" s="8" t="s">
        <v>267</v>
      </c>
      <c r="H84" s="8" t="s">
        <v>37</v>
      </c>
      <c r="I84" s="8" t="s">
        <v>130</v>
      </c>
      <c r="J84" s="8" t="s">
        <v>24</v>
      </c>
      <c r="K84" s="6" t="str">
        <f t="shared" si="1"/>
        <v>085755554957</v>
      </c>
      <c r="L84" s="6" t="str">
        <f>IFERROR(
VLOOKUP(
TRIM(
IF(ISNUMBER(FIND(",",E84)),
LEFT(E84,FIND(",",E84)-1),
E84
)
),
master!A:B,
2,
FALSE
),
"Belum ada mapping"
)
</f>
        <v>Jawa Timur</v>
      </c>
      <c r="M84" s="6">
        <f>IFERROR(__xludf.DUMMYFUNCTION("IF(REGEXMATCH(I84,""Cari Kerja""),1,0)
"),1.0)</f>
        <v>1</v>
      </c>
      <c r="N84" s="6">
        <f>IFERROR(__xludf.DUMMYFUNCTION("IF(REGEXMATCH(I84,""Upskill""),1,0)
"),1.0)</f>
        <v>1</v>
      </c>
      <c r="O84" s="6">
        <f>IFERROR(__xludf.DUMMYFUNCTION("IF(REGEXMATCH(I84,""Networking""),1,0)
"),0.0)</f>
        <v>0</v>
      </c>
      <c r="P84" s="6">
        <f>IFERROR(__xludf.DUMMYFUNCTION("IF(REGEXMATCH(I84,""Switch Career""),1,0)
"),0.0)</f>
        <v>0</v>
      </c>
    </row>
    <row r="85" ht="22.5" customHeight="1">
      <c r="A85" s="3">
        <v>46049.360702881946</v>
      </c>
      <c r="B85" s="5" t="s">
        <v>434</v>
      </c>
      <c r="C85" s="5" t="s">
        <v>435</v>
      </c>
      <c r="D85" s="4" t="s">
        <v>436</v>
      </c>
      <c r="E85" s="5" t="s">
        <v>437</v>
      </c>
      <c r="F85" s="5" t="s">
        <v>20</v>
      </c>
      <c r="G85" s="5" t="s">
        <v>438</v>
      </c>
      <c r="H85" s="5" t="s">
        <v>439</v>
      </c>
      <c r="I85" s="5" t="s">
        <v>130</v>
      </c>
      <c r="J85" s="5" t="s">
        <v>24</v>
      </c>
      <c r="K85" s="6" t="str">
        <f t="shared" si="1"/>
        <v>081370899150</v>
      </c>
      <c r="L85" s="6" t="str">
        <f>IFERROR(
VLOOKUP(
TRIM(
IF(ISNUMBER(FIND(",",E85)),
LEFT(E85,FIND(",",E85)-1),
E85
)
),
master!A:B,
2,
FALSE
),
"Belum ada mapping"
)
</f>
        <v>Jakarta</v>
      </c>
      <c r="M85" s="6">
        <f>IFERROR(__xludf.DUMMYFUNCTION("IF(REGEXMATCH(I85,""Cari Kerja""),1,0)
"),1.0)</f>
        <v>1</v>
      </c>
      <c r="N85" s="6">
        <f>IFERROR(__xludf.DUMMYFUNCTION("IF(REGEXMATCH(I85,""Upskill""),1,0)
"),1.0)</f>
        <v>1</v>
      </c>
      <c r="O85" s="6">
        <f>IFERROR(__xludf.DUMMYFUNCTION("IF(REGEXMATCH(I85,""Networking""),1,0)
"),0.0)</f>
        <v>0</v>
      </c>
      <c r="P85" s="6">
        <f>IFERROR(__xludf.DUMMYFUNCTION("IF(REGEXMATCH(I85,""Switch Career""),1,0)
"),0.0)</f>
        <v>0</v>
      </c>
    </row>
    <row r="86" ht="22.5" customHeight="1">
      <c r="A86" s="7">
        <v>46040.35442290509</v>
      </c>
      <c r="B86" s="8" t="s">
        <v>440</v>
      </c>
      <c r="C86" s="8" t="s">
        <v>441</v>
      </c>
      <c r="D86" s="9" t="s">
        <v>442</v>
      </c>
      <c r="E86" s="8" t="s">
        <v>443</v>
      </c>
      <c r="F86" s="8" t="s">
        <v>20</v>
      </c>
      <c r="G86" s="8" t="s">
        <v>444</v>
      </c>
      <c r="H86" s="8" t="s">
        <v>93</v>
      </c>
      <c r="I86" s="8" t="s">
        <v>59</v>
      </c>
      <c r="J86" s="8" t="s">
        <v>24</v>
      </c>
      <c r="K86" s="6" t="str">
        <f t="shared" si="1"/>
        <v>08887060286</v>
      </c>
      <c r="L86" s="6" t="str">
        <f>IFERROR(
VLOOKUP(
TRIM(
IF(ISNUMBER(FIND(",",E86)),
LEFT(E86,FIND(",",E86)-1),
E86
)
),
master!A:B,
2,
FALSE
),
"Belum ada mapping"
)
</f>
        <v>Jawa Tengah</v>
      </c>
      <c r="M86" s="6">
        <f>IFERROR(__xludf.DUMMYFUNCTION("IF(REGEXMATCH(I86,""Cari Kerja""),1,0)
"),0.0)</f>
        <v>0</v>
      </c>
      <c r="N86" s="6">
        <f>IFERROR(__xludf.DUMMYFUNCTION("IF(REGEXMATCH(I86,""Upskill""),1,0)
"),1.0)</f>
        <v>1</v>
      </c>
      <c r="O86" s="6">
        <f>IFERROR(__xludf.DUMMYFUNCTION("IF(REGEXMATCH(I86,""Networking""),1,0)
"),1.0)</f>
        <v>1</v>
      </c>
      <c r="P86" s="6">
        <f>IFERROR(__xludf.DUMMYFUNCTION("IF(REGEXMATCH(I86,""Switch Career""),1,0)
"),0.0)</f>
        <v>0</v>
      </c>
    </row>
    <row r="87" ht="22.5" customHeight="1">
      <c r="A87" s="3">
        <v>46046.85232670139</v>
      </c>
      <c r="B87" s="5" t="s">
        <v>445</v>
      </c>
      <c r="C87" s="5" t="s">
        <v>446</v>
      </c>
      <c r="D87" s="4" t="s">
        <v>447</v>
      </c>
      <c r="E87" s="5" t="s">
        <v>207</v>
      </c>
      <c r="F87" s="5" t="s">
        <v>49</v>
      </c>
      <c r="G87" s="5" t="s">
        <v>448</v>
      </c>
      <c r="H87" s="5" t="s">
        <v>193</v>
      </c>
      <c r="I87" s="5" t="s">
        <v>15</v>
      </c>
      <c r="J87" s="5" t="s">
        <v>76</v>
      </c>
      <c r="K87" s="6" t="str">
        <f t="shared" si="1"/>
        <v>085158700150</v>
      </c>
      <c r="L87" s="6" t="str">
        <f>IFERROR(
VLOOKUP(
TRIM(
IF(ISNUMBER(FIND(",",E87)),
LEFT(E87,FIND(",",E87)-1),
E87
)
),
master!A:B,
2,
FALSE
),
"Belum ada mapping"
)
</f>
        <v>Jakarta</v>
      </c>
      <c r="M87" s="6">
        <f>IFERROR(__xludf.DUMMYFUNCTION("IF(REGEXMATCH(I87,""Cari Kerja""),1,0)
"),0.0)</f>
        <v>0</v>
      </c>
      <c r="N87" s="6">
        <f>IFERROR(__xludf.DUMMYFUNCTION("IF(REGEXMATCH(I87,""Upskill""),1,0)
"),0.0)</f>
        <v>0</v>
      </c>
      <c r="O87" s="6">
        <f>IFERROR(__xludf.DUMMYFUNCTION("IF(REGEXMATCH(I87,""Networking""),1,0)
"),0.0)</f>
        <v>0</v>
      </c>
      <c r="P87" s="6">
        <f>IFERROR(__xludf.DUMMYFUNCTION("IF(REGEXMATCH(I87,""Switch Career""),1,0)
"),1.0)</f>
        <v>1</v>
      </c>
    </row>
    <row r="88" ht="22.5" customHeight="1">
      <c r="A88" s="7">
        <v>46040.418072939814</v>
      </c>
      <c r="B88" s="8" t="s">
        <v>449</v>
      </c>
      <c r="C88" s="8" t="s">
        <v>450</v>
      </c>
      <c r="D88" s="9" t="s">
        <v>451</v>
      </c>
      <c r="E88" s="8" t="s">
        <v>452</v>
      </c>
      <c r="F88" s="8" t="s">
        <v>49</v>
      </c>
      <c r="G88" s="8" t="s">
        <v>229</v>
      </c>
      <c r="H88" s="8" t="s">
        <v>170</v>
      </c>
      <c r="I88" s="8" t="s">
        <v>453</v>
      </c>
      <c r="J88" s="8" t="s">
        <v>76</v>
      </c>
      <c r="K88" s="6" t="str">
        <f t="shared" si="1"/>
        <v>082378235663</v>
      </c>
      <c r="L88" s="6" t="str">
        <f>IFERROR(
VLOOKUP(
TRIM(
IF(ISNUMBER(FIND(",",E88)),
LEFT(E88,FIND(",",E88)-1),
E88
)
),
master!A:B,
2,
FALSE
),
"Belum ada mapping"
)
</f>
        <v>Sumatera Selatan</v>
      </c>
      <c r="M88" s="6">
        <f>IFERROR(__xludf.DUMMYFUNCTION("IF(REGEXMATCH(I88,""Cari Kerja""),1,0)
"),1.0)</f>
        <v>1</v>
      </c>
      <c r="N88" s="6">
        <f>IFERROR(__xludf.DUMMYFUNCTION("IF(REGEXMATCH(I88,""Upskill""),1,0)
"),0.0)</f>
        <v>0</v>
      </c>
      <c r="O88" s="6">
        <f>IFERROR(__xludf.DUMMYFUNCTION("IF(REGEXMATCH(I88,""Networking""),1,0)
"),1.0)</f>
        <v>1</v>
      </c>
      <c r="P88" s="6">
        <f>IFERROR(__xludf.DUMMYFUNCTION("IF(REGEXMATCH(I88,""Switch Career""),1,0)
"),1.0)</f>
        <v>1</v>
      </c>
    </row>
    <row r="89" ht="22.5" customHeight="1">
      <c r="A89" s="3">
        <v>46044.98718667824</v>
      </c>
      <c r="B89" s="5" t="s">
        <v>454</v>
      </c>
      <c r="C89" s="5" t="s">
        <v>455</v>
      </c>
      <c r="D89" s="4" t="s">
        <v>456</v>
      </c>
      <c r="E89" s="5" t="s">
        <v>457</v>
      </c>
      <c r="F89" s="5" t="s">
        <v>20</v>
      </c>
      <c r="G89" s="5" t="s">
        <v>69</v>
      </c>
      <c r="H89" s="5" t="s">
        <v>51</v>
      </c>
      <c r="I89" s="5" t="s">
        <v>23</v>
      </c>
      <c r="J89" s="5" t="s">
        <v>24</v>
      </c>
      <c r="K89" s="6" t="str">
        <f t="shared" si="1"/>
        <v>089611357078</v>
      </c>
      <c r="L89" s="6" t="str">
        <f>IFERROR(
VLOOKUP(
TRIM(
IF(ISNUMBER(FIND(",",E89)),
LEFT(E89,FIND(",",E89)-1),
E89
)
),
master!A:B,
2,
FALSE
),
"Belum ada mapping"
)
</f>
        <v>Lampung</v>
      </c>
      <c r="M89" s="6">
        <f>IFERROR(__xludf.DUMMYFUNCTION("IF(REGEXMATCH(I89,""Cari Kerja""),1,0)
"),1.0)</f>
        <v>1</v>
      </c>
      <c r="N89" s="6">
        <f>IFERROR(__xludf.DUMMYFUNCTION("IF(REGEXMATCH(I89,""Upskill""),1,0)
"),1.0)</f>
        <v>1</v>
      </c>
      <c r="O89" s="6">
        <f>IFERROR(__xludf.DUMMYFUNCTION("IF(REGEXMATCH(I89,""Networking""),1,0)
"),1.0)</f>
        <v>1</v>
      </c>
      <c r="P89" s="6">
        <f>IFERROR(__xludf.DUMMYFUNCTION("IF(REGEXMATCH(I89,""Switch Career""),1,0)
"),0.0)</f>
        <v>0</v>
      </c>
    </row>
    <row r="90" ht="22.5" customHeight="1">
      <c r="A90" s="3">
        <v>46047.9368452662</v>
      </c>
      <c r="B90" s="5" t="s">
        <v>458</v>
      </c>
      <c r="C90" s="5" t="s">
        <v>459</v>
      </c>
      <c r="D90" s="4" t="s">
        <v>460</v>
      </c>
      <c r="E90" s="5" t="s">
        <v>461</v>
      </c>
      <c r="F90" s="5" t="s">
        <v>20</v>
      </c>
      <c r="G90" s="5" t="s">
        <v>462</v>
      </c>
      <c r="H90" s="5" t="s">
        <v>463</v>
      </c>
      <c r="I90" s="5" t="s">
        <v>52</v>
      </c>
      <c r="J90" s="5" t="s">
        <v>24</v>
      </c>
      <c r="K90" s="6" t="str">
        <f t="shared" si="1"/>
        <v>0895327074221</v>
      </c>
      <c r="L90" s="6" t="str">
        <f>IFERROR(
VLOOKUP(
TRIM(
IF(ISNUMBER(FIND(",",E90)),
LEFT(E90,FIND(",",E90)-1),
E90
)
),
master!A:B,
2,
FALSE
),
"Belum ada mapping"
)
</f>
        <v>Jakarta</v>
      </c>
      <c r="M90" s="6">
        <f>IFERROR(__xludf.DUMMYFUNCTION("IF(REGEXMATCH(I90,""Cari Kerja""),1,0)
"),0.0)</f>
        <v>0</v>
      </c>
      <c r="N90" s="6">
        <f>IFERROR(__xludf.DUMMYFUNCTION("IF(REGEXMATCH(I90,""Upskill""),1,0)
"),1.0)</f>
        <v>1</v>
      </c>
      <c r="O90" s="6">
        <f>IFERROR(__xludf.DUMMYFUNCTION("IF(REGEXMATCH(I90,""Networking""),1,0)
"),1.0)</f>
        <v>1</v>
      </c>
      <c r="P90" s="6">
        <f>IFERROR(__xludf.DUMMYFUNCTION("IF(REGEXMATCH(I90,""Switch Career""),1,0)
"),1.0)</f>
        <v>1</v>
      </c>
    </row>
    <row r="91" ht="22.5" customHeight="1">
      <c r="A91" s="3">
        <v>46045.87288792824</v>
      </c>
      <c r="B91" s="5" t="s">
        <v>464</v>
      </c>
      <c r="C91" s="5" t="s">
        <v>465</v>
      </c>
      <c r="D91" s="4" t="s">
        <v>466</v>
      </c>
      <c r="E91" s="5" t="s">
        <v>63</v>
      </c>
      <c r="F91" s="5" t="s">
        <v>49</v>
      </c>
      <c r="G91" s="5" t="s">
        <v>467</v>
      </c>
      <c r="H91" s="5" t="s">
        <v>51</v>
      </c>
      <c r="I91" s="5" t="s">
        <v>31</v>
      </c>
      <c r="J91" s="5" t="s">
        <v>24</v>
      </c>
      <c r="K91" s="6" t="str">
        <f t="shared" si="1"/>
        <v>08569022344</v>
      </c>
      <c r="L91" s="6" t="str">
        <f>IFERROR(
VLOOKUP(
TRIM(
IF(ISNUMBER(FIND(",",E91)),
LEFT(E91,FIND(",",E91)-1),
E91
)
),
master!A:B,
2,
FALSE
),
"Belum ada mapping"
)
</f>
        <v>Jawa Tengah</v>
      </c>
      <c r="M91" s="6">
        <f>IFERROR(__xludf.DUMMYFUNCTION("IF(REGEXMATCH(I91,""Cari Kerja""),1,0)
"),1.0)</f>
        <v>1</v>
      </c>
      <c r="N91" s="6">
        <f>IFERROR(__xludf.DUMMYFUNCTION("IF(REGEXMATCH(I91,""Upskill""),1,0)
"),1.0)</f>
        <v>1</v>
      </c>
      <c r="O91" s="6">
        <f>IFERROR(__xludf.DUMMYFUNCTION("IF(REGEXMATCH(I91,""Networking""),1,0)
"),1.0)</f>
        <v>1</v>
      </c>
      <c r="P91" s="6">
        <f>IFERROR(__xludf.DUMMYFUNCTION("IF(REGEXMATCH(I91,""Switch Career""),1,0)
"),1.0)</f>
        <v>1</v>
      </c>
    </row>
    <row r="92" ht="22.5" customHeight="1">
      <c r="A92" s="3">
        <v>46043.2625190625</v>
      </c>
      <c r="B92" s="5" t="s">
        <v>468</v>
      </c>
      <c r="C92" s="5" t="s">
        <v>469</v>
      </c>
      <c r="D92" s="4" t="s">
        <v>470</v>
      </c>
      <c r="E92" s="5" t="s">
        <v>471</v>
      </c>
      <c r="F92" s="5" t="s">
        <v>20</v>
      </c>
      <c r="G92" s="5" t="s">
        <v>472</v>
      </c>
      <c r="H92" s="5" t="s">
        <v>51</v>
      </c>
      <c r="I92" s="5" t="s">
        <v>23</v>
      </c>
      <c r="J92" s="5" t="s">
        <v>38</v>
      </c>
      <c r="K92" s="6" t="str">
        <f t="shared" si="1"/>
        <v>085142427956</v>
      </c>
      <c r="L92" s="6" t="str">
        <f>IFERROR(
VLOOKUP(
TRIM(
IF(ISNUMBER(FIND(",",E92)),
LEFT(E92,FIND(",",E92)-1),
E92
)
),
master!A:B,
2,
FALSE
),
"Belum ada mapping"
)
</f>
        <v>Jawa Timur</v>
      </c>
      <c r="M92" s="6">
        <f>IFERROR(__xludf.DUMMYFUNCTION("IF(REGEXMATCH(I92,""Cari Kerja""),1,0)
"),1.0)</f>
        <v>1</v>
      </c>
      <c r="N92" s="6">
        <f>IFERROR(__xludf.DUMMYFUNCTION("IF(REGEXMATCH(I92,""Upskill""),1,0)
"),1.0)</f>
        <v>1</v>
      </c>
      <c r="O92" s="6">
        <f>IFERROR(__xludf.DUMMYFUNCTION("IF(REGEXMATCH(I92,""Networking""),1,0)
"),1.0)</f>
        <v>1</v>
      </c>
      <c r="P92" s="6">
        <f>IFERROR(__xludf.DUMMYFUNCTION("IF(REGEXMATCH(I92,""Switch Career""),1,0)
"),0.0)</f>
        <v>0</v>
      </c>
    </row>
    <row r="93" ht="22.5" customHeight="1">
      <c r="A93" s="3">
        <v>46043.33099959491</v>
      </c>
      <c r="B93" s="5" t="s">
        <v>473</v>
      </c>
      <c r="C93" s="5" t="s">
        <v>474</v>
      </c>
      <c r="D93" s="4" t="s">
        <v>475</v>
      </c>
      <c r="E93" s="5" t="s">
        <v>364</v>
      </c>
      <c r="F93" s="5" t="s">
        <v>20</v>
      </c>
      <c r="G93" s="5" t="s">
        <v>476</v>
      </c>
      <c r="H93" s="5" t="s">
        <v>51</v>
      </c>
      <c r="I93" s="5" t="s">
        <v>130</v>
      </c>
      <c r="J93" s="5" t="s">
        <v>24</v>
      </c>
      <c r="K93" s="6" t="str">
        <f t="shared" si="1"/>
        <v>082282110287</v>
      </c>
      <c r="L93" s="6" t="str">
        <f>IFERROR(
VLOOKUP(
TRIM(
IF(ISNUMBER(FIND(",",E93)),
LEFT(E93,FIND(",",E93)-1),
E93
)
),
master!A:B,
2,
FALSE
),
"Belum ada mapping"
)
</f>
        <v>Jakarta</v>
      </c>
      <c r="M93" s="6">
        <f>IFERROR(__xludf.DUMMYFUNCTION("IF(REGEXMATCH(I93,""Cari Kerja""),1,0)
"),1.0)</f>
        <v>1</v>
      </c>
      <c r="N93" s="6">
        <f>IFERROR(__xludf.DUMMYFUNCTION("IF(REGEXMATCH(I93,""Upskill""),1,0)
"),1.0)</f>
        <v>1</v>
      </c>
      <c r="O93" s="6">
        <f>IFERROR(__xludf.DUMMYFUNCTION("IF(REGEXMATCH(I93,""Networking""),1,0)
"),0.0)</f>
        <v>0</v>
      </c>
      <c r="P93" s="6">
        <f>IFERROR(__xludf.DUMMYFUNCTION("IF(REGEXMATCH(I93,""Switch Career""),1,0)
"),0.0)</f>
        <v>0</v>
      </c>
    </row>
    <row r="94" ht="22.5" customHeight="1">
      <c r="A94" s="3">
        <v>46046.3996265625</v>
      </c>
      <c r="B94" s="5" t="s">
        <v>477</v>
      </c>
      <c r="C94" s="5" t="s">
        <v>478</v>
      </c>
      <c r="D94" s="4" t="s">
        <v>479</v>
      </c>
      <c r="E94" s="5" t="s">
        <v>74</v>
      </c>
      <c r="F94" s="5" t="s">
        <v>20</v>
      </c>
      <c r="G94" s="5" t="s">
        <v>480</v>
      </c>
      <c r="H94" s="5" t="s">
        <v>430</v>
      </c>
      <c r="I94" s="5" t="s">
        <v>59</v>
      </c>
      <c r="J94" s="5" t="s">
        <v>76</v>
      </c>
      <c r="K94" s="6" t="str">
        <f t="shared" si="1"/>
        <v>082123932790</v>
      </c>
      <c r="L94" s="6" t="str">
        <f>IFERROR(
VLOOKUP(
TRIM(
IF(ISNUMBER(FIND(",",E94)),
LEFT(E94,FIND(",",E94)-1),
E94
)
),
master!A:B,
2,
FALSE
),
"Belum ada mapping"
)
</f>
        <v>Banten</v>
      </c>
      <c r="M94" s="6">
        <f>IFERROR(__xludf.DUMMYFUNCTION("IF(REGEXMATCH(I94,""Cari Kerja""),1,0)
"),0.0)</f>
        <v>0</v>
      </c>
      <c r="N94" s="6">
        <f>IFERROR(__xludf.DUMMYFUNCTION("IF(REGEXMATCH(I94,""Upskill""),1,0)
"),1.0)</f>
        <v>1</v>
      </c>
      <c r="O94" s="6">
        <f>IFERROR(__xludf.DUMMYFUNCTION("IF(REGEXMATCH(I94,""Networking""),1,0)
"),1.0)</f>
        <v>1</v>
      </c>
      <c r="P94" s="6">
        <f>IFERROR(__xludf.DUMMYFUNCTION("IF(REGEXMATCH(I94,""Switch Career""),1,0)
"),0.0)</f>
        <v>0</v>
      </c>
    </row>
    <row r="95" ht="22.5" customHeight="1">
      <c r="A95" s="3">
        <v>46043.38944049769</v>
      </c>
      <c r="B95" s="5" t="s">
        <v>481</v>
      </c>
      <c r="C95" s="5" t="s">
        <v>482</v>
      </c>
      <c r="D95" s="4" t="s">
        <v>483</v>
      </c>
      <c r="E95" s="5" t="s">
        <v>484</v>
      </c>
      <c r="F95" s="5" t="s">
        <v>20</v>
      </c>
      <c r="G95" s="5" t="s">
        <v>485</v>
      </c>
      <c r="H95" s="5" t="s">
        <v>51</v>
      </c>
      <c r="I95" s="5" t="s">
        <v>23</v>
      </c>
      <c r="J95" s="5" t="s">
        <v>38</v>
      </c>
      <c r="K95" s="6" t="str">
        <f t="shared" si="1"/>
        <v>089618467388</v>
      </c>
      <c r="L95" s="6" t="str">
        <f>IFERROR(
VLOOKUP(
TRIM(
IF(ISNUMBER(FIND(",",E95)),
LEFT(E95,FIND(",",E95)-1),
E95
)
),
master!A:B,
2,
FALSE
),
"Belum ada mapping"
)
</f>
        <v>Jawa Tengah</v>
      </c>
      <c r="M95" s="6">
        <f>IFERROR(__xludf.DUMMYFUNCTION("IF(REGEXMATCH(I95,""Cari Kerja""),1,0)
"),1.0)</f>
        <v>1</v>
      </c>
      <c r="N95" s="6">
        <f>IFERROR(__xludf.DUMMYFUNCTION("IF(REGEXMATCH(I95,""Upskill""),1,0)
"),1.0)</f>
        <v>1</v>
      </c>
      <c r="O95" s="6">
        <f>IFERROR(__xludf.DUMMYFUNCTION("IF(REGEXMATCH(I95,""Networking""),1,0)
"),1.0)</f>
        <v>1</v>
      </c>
      <c r="P95" s="6">
        <f>IFERROR(__xludf.DUMMYFUNCTION("IF(REGEXMATCH(I95,""Switch Career""),1,0)
"),0.0)</f>
        <v>0</v>
      </c>
    </row>
    <row r="96" ht="22.5" customHeight="1">
      <c r="A96" s="3">
        <v>46042.301832743055</v>
      </c>
      <c r="B96" s="5" t="s">
        <v>486</v>
      </c>
      <c r="C96" s="5" t="s">
        <v>487</v>
      </c>
      <c r="D96" s="4" t="s">
        <v>488</v>
      </c>
      <c r="E96" s="5" t="s">
        <v>86</v>
      </c>
      <c r="F96" s="5" t="s">
        <v>20</v>
      </c>
      <c r="G96" s="5" t="s">
        <v>267</v>
      </c>
      <c r="H96" s="5" t="s">
        <v>51</v>
      </c>
      <c r="I96" s="5" t="s">
        <v>23</v>
      </c>
      <c r="J96" s="5" t="s">
        <v>24</v>
      </c>
      <c r="K96" s="6" t="str">
        <f t="shared" si="1"/>
        <v>089516719920</v>
      </c>
      <c r="L96" s="6" t="str">
        <f>IFERROR(
VLOOKUP(
TRIM(
IF(ISNUMBER(FIND(",",E96)),
LEFT(E96,FIND(",",E96)-1),
E96
)
),
master!A:B,
2,
FALSE
),
"Belum ada mapping"
)
</f>
        <v>Jawa Tengah</v>
      </c>
      <c r="M96" s="6">
        <f>IFERROR(__xludf.DUMMYFUNCTION("IF(REGEXMATCH(I96,""Cari Kerja""),1,0)
"),1.0)</f>
        <v>1</v>
      </c>
      <c r="N96" s="6">
        <f>IFERROR(__xludf.DUMMYFUNCTION("IF(REGEXMATCH(I96,""Upskill""),1,0)
"),1.0)</f>
        <v>1</v>
      </c>
      <c r="O96" s="6">
        <f>IFERROR(__xludf.DUMMYFUNCTION("IF(REGEXMATCH(I96,""Networking""),1,0)
"),1.0)</f>
        <v>1</v>
      </c>
      <c r="P96" s="6">
        <f>IFERROR(__xludf.DUMMYFUNCTION("IF(REGEXMATCH(I96,""Switch Career""),1,0)
"),0.0)</f>
        <v>0</v>
      </c>
    </row>
    <row r="97" ht="22.5" customHeight="1">
      <c r="A97" s="7">
        <v>46040.357294201385</v>
      </c>
      <c r="B97" s="8" t="s">
        <v>489</v>
      </c>
      <c r="C97" s="8" t="s">
        <v>490</v>
      </c>
      <c r="D97" s="9" t="s">
        <v>491</v>
      </c>
      <c r="E97" s="8" t="s">
        <v>492</v>
      </c>
      <c r="F97" s="8" t="s">
        <v>49</v>
      </c>
      <c r="G97" s="8" t="s">
        <v>69</v>
      </c>
      <c r="H97" s="8" t="s">
        <v>439</v>
      </c>
      <c r="I97" s="8" t="s">
        <v>154</v>
      </c>
      <c r="J97" s="8" t="s">
        <v>24</v>
      </c>
      <c r="K97" s="6" t="str">
        <f t="shared" si="1"/>
        <v>081539356952</v>
      </c>
      <c r="L97" s="6" t="str">
        <f>IFERROR(
VLOOKUP(
TRIM(
IF(ISNUMBER(FIND(",",E97)),
LEFT(E97,FIND(",",E97)-1),
E97
)
),
master!A:B,
2,
FALSE
),
"Belum ada mapping"
)
</f>
        <v>Bengkulu</v>
      </c>
      <c r="M97" s="6">
        <f>IFERROR(__xludf.DUMMYFUNCTION("IF(REGEXMATCH(I97,""Cari Kerja""),1,0)
"),0.0)</f>
        <v>0</v>
      </c>
      <c r="N97" s="6">
        <f>IFERROR(__xludf.DUMMYFUNCTION("IF(REGEXMATCH(I97,""Upskill""),1,0)
"),1.0)</f>
        <v>1</v>
      </c>
      <c r="O97" s="6">
        <f>IFERROR(__xludf.DUMMYFUNCTION("IF(REGEXMATCH(I97,""Networking""),1,0)
"),0.0)</f>
        <v>0</v>
      </c>
      <c r="P97" s="6">
        <f>IFERROR(__xludf.DUMMYFUNCTION("IF(REGEXMATCH(I97,""Switch Career""),1,0)
"),1.0)</f>
        <v>1</v>
      </c>
    </row>
    <row r="98" ht="22.5" customHeight="1">
      <c r="A98" s="3">
        <v>46042.366624386574</v>
      </c>
      <c r="B98" s="5" t="s">
        <v>493</v>
      </c>
      <c r="C98" s="5" t="s">
        <v>494</v>
      </c>
      <c r="D98" s="4" t="s">
        <v>495</v>
      </c>
      <c r="E98" s="5" t="s">
        <v>74</v>
      </c>
      <c r="F98" s="5" t="s">
        <v>49</v>
      </c>
      <c r="G98" s="5" t="s">
        <v>496</v>
      </c>
      <c r="H98" s="5" t="s">
        <v>165</v>
      </c>
      <c r="I98" s="5" t="s">
        <v>154</v>
      </c>
      <c r="J98" s="5" t="s">
        <v>24</v>
      </c>
      <c r="K98" s="6" t="str">
        <f t="shared" si="1"/>
        <v>089601630666</v>
      </c>
      <c r="L98" s="6" t="str">
        <f>IFERROR(
VLOOKUP(
TRIM(
IF(ISNUMBER(FIND(",",E98)),
LEFT(E98,FIND(",",E98)-1),
E98
)
),
master!A:B,
2,
FALSE
),
"Belum ada mapping"
)
</f>
        <v>Banten</v>
      </c>
      <c r="M98" s="6">
        <f>IFERROR(__xludf.DUMMYFUNCTION("IF(REGEXMATCH(I98,""Cari Kerja""),1,0)
"),0.0)</f>
        <v>0</v>
      </c>
      <c r="N98" s="6">
        <f>IFERROR(__xludf.DUMMYFUNCTION("IF(REGEXMATCH(I98,""Upskill""),1,0)
"),1.0)</f>
        <v>1</v>
      </c>
      <c r="O98" s="6">
        <f>IFERROR(__xludf.DUMMYFUNCTION("IF(REGEXMATCH(I98,""Networking""),1,0)
"),0.0)</f>
        <v>0</v>
      </c>
      <c r="P98" s="6">
        <f>IFERROR(__xludf.DUMMYFUNCTION("IF(REGEXMATCH(I98,""Switch Career""),1,0)
"),1.0)</f>
        <v>1</v>
      </c>
    </row>
    <row r="99" ht="22.5" customHeight="1">
      <c r="A99" s="3">
        <v>46047.36664662037</v>
      </c>
      <c r="B99" s="5" t="s">
        <v>497</v>
      </c>
      <c r="C99" s="5" t="s">
        <v>498</v>
      </c>
      <c r="D99" s="4" t="s">
        <v>499</v>
      </c>
      <c r="E99" s="5" t="s">
        <v>457</v>
      </c>
      <c r="F99" s="5" t="s">
        <v>20</v>
      </c>
      <c r="G99" s="5" t="s">
        <v>500</v>
      </c>
      <c r="H99" s="5" t="s">
        <v>463</v>
      </c>
      <c r="I99" s="5" t="s">
        <v>130</v>
      </c>
      <c r="J99" s="5" t="s">
        <v>24</v>
      </c>
      <c r="K99" s="6" t="str">
        <f t="shared" si="1"/>
        <v>082278822285</v>
      </c>
      <c r="L99" s="6" t="str">
        <f>IFERROR(
VLOOKUP(
TRIM(
IF(ISNUMBER(FIND(",",E99)),
LEFT(E99,FIND(",",E99)-1),
E99
)
),
master!A:B,
2,
FALSE
),
"Belum ada mapping"
)
</f>
        <v>Lampung</v>
      </c>
      <c r="M99" s="6">
        <f>IFERROR(__xludf.DUMMYFUNCTION("IF(REGEXMATCH(I99,""Cari Kerja""),1,0)
"),1.0)</f>
        <v>1</v>
      </c>
      <c r="N99" s="6">
        <f>IFERROR(__xludf.DUMMYFUNCTION("IF(REGEXMATCH(I99,""Upskill""),1,0)
"),1.0)</f>
        <v>1</v>
      </c>
      <c r="O99" s="6">
        <f>IFERROR(__xludf.DUMMYFUNCTION("IF(REGEXMATCH(I99,""Networking""),1,0)
"),0.0)</f>
        <v>0</v>
      </c>
      <c r="P99" s="6">
        <f>IFERROR(__xludf.DUMMYFUNCTION("IF(REGEXMATCH(I99,""Switch Career""),1,0)
"),0.0)</f>
        <v>0</v>
      </c>
    </row>
    <row r="100" ht="22.5" customHeight="1">
      <c r="A100" s="7">
        <v>46040.462181111114</v>
      </c>
      <c r="B100" s="8" t="s">
        <v>501</v>
      </c>
      <c r="C100" s="8" t="s">
        <v>502</v>
      </c>
      <c r="D100" s="9" t="s">
        <v>503</v>
      </c>
      <c r="E100" s="8" t="s">
        <v>504</v>
      </c>
      <c r="F100" s="8" t="s">
        <v>20</v>
      </c>
      <c r="G100" s="8" t="s">
        <v>69</v>
      </c>
      <c r="H100" s="8" t="s">
        <v>93</v>
      </c>
      <c r="I100" s="8" t="s">
        <v>109</v>
      </c>
      <c r="J100" s="8" t="s">
        <v>76</v>
      </c>
      <c r="K100" s="6" t="str">
        <f t="shared" si="1"/>
        <v>082390283788</v>
      </c>
      <c r="L100" s="6" t="str">
        <f>IFERROR(
VLOOKUP(
TRIM(
IF(ISNUMBER(FIND(",",E100)),
LEFT(E100,FIND(",",E100)-1),
E100
)
),
master!A:B,
2,
FALSE
),
"Belum ada mapping"
)
</f>
        <v>Riau</v>
      </c>
      <c r="M100" s="6">
        <f>IFERROR(__xludf.DUMMYFUNCTION("IF(REGEXMATCH(I100,""Cari Kerja""),1,0)
"),1.0)</f>
        <v>1</v>
      </c>
      <c r="N100" s="6">
        <f>IFERROR(__xludf.DUMMYFUNCTION("IF(REGEXMATCH(I100,""Upskill""),1,0)
"),0.0)</f>
        <v>0</v>
      </c>
      <c r="O100" s="6">
        <f>IFERROR(__xludf.DUMMYFUNCTION("IF(REGEXMATCH(I100,""Networking""),1,0)
"),1.0)</f>
        <v>1</v>
      </c>
      <c r="P100" s="6">
        <f>IFERROR(__xludf.DUMMYFUNCTION("IF(REGEXMATCH(I100,""Switch Career""),1,0)
"),0.0)</f>
        <v>0</v>
      </c>
    </row>
    <row r="101" ht="22.5" customHeight="1">
      <c r="A101" s="7">
        <v>46041.413265243056</v>
      </c>
      <c r="B101" s="8" t="s">
        <v>505</v>
      </c>
      <c r="C101" s="8" t="s">
        <v>506</v>
      </c>
      <c r="D101" s="9" t="s">
        <v>507</v>
      </c>
      <c r="E101" s="8" t="s">
        <v>207</v>
      </c>
      <c r="F101" s="8" t="s">
        <v>49</v>
      </c>
      <c r="G101" s="8" t="s">
        <v>508</v>
      </c>
      <c r="H101" s="8" t="s">
        <v>509</v>
      </c>
      <c r="I101" s="8" t="s">
        <v>13</v>
      </c>
      <c r="J101" s="8" t="s">
        <v>24</v>
      </c>
      <c r="K101" s="6" t="str">
        <f t="shared" si="1"/>
        <v>082246853717</v>
      </c>
      <c r="L101" s="6" t="str">
        <f>IFERROR(
VLOOKUP(
TRIM(
IF(ISNUMBER(FIND(",",E101)),
LEFT(E101,FIND(",",E101)-1),
E101
)
),
master!A:B,
2,
FALSE
),
"Belum ada mapping"
)
</f>
        <v>Jakarta</v>
      </c>
      <c r="M101" s="6">
        <f>IFERROR(__xludf.DUMMYFUNCTION("IF(REGEXMATCH(I101,""Cari Kerja""),1,0)
"),0.0)</f>
        <v>0</v>
      </c>
      <c r="N101" s="6">
        <f>IFERROR(__xludf.DUMMYFUNCTION("IF(REGEXMATCH(I101,""Upskill""),1,0)
"),1.0)</f>
        <v>1</v>
      </c>
      <c r="O101" s="6">
        <f>IFERROR(__xludf.DUMMYFUNCTION("IF(REGEXMATCH(I101,""Networking""),1,0)
"),0.0)</f>
        <v>0</v>
      </c>
      <c r="P101" s="6">
        <f>IFERROR(__xludf.DUMMYFUNCTION("IF(REGEXMATCH(I101,""Switch Career""),1,0)
"),0.0)</f>
        <v>0</v>
      </c>
    </row>
    <row r="102" ht="22.5" customHeight="1">
      <c r="A102" s="3">
        <v>46048.403105081015</v>
      </c>
      <c r="B102" s="5" t="s">
        <v>510</v>
      </c>
      <c r="C102" s="5" t="s">
        <v>511</v>
      </c>
      <c r="D102" s="4" t="s">
        <v>512</v>
      </c>
      <c r="E102" s="5" t="s">
        <v>364</v>
      </c>
      <c r="F102" s="5" t="s">
        <v>49</v>
      </c>
      <c r="G102" s="5" t="s">
        <v>369</v>
      </c>
      <c r="H102" s="5" t="s">
        <v>513</v>
      </c>
      <c r="I102" s="5" t="s">
        <v>59</v>
      </c>
      <c r="J102" s="5" t="s">
        <v>24</v>
      </c>
      <c r="K102" s="6" t="str">
        <f t="shared" si="1"/>
        <v>081359140348</v>
      </c>
      <c r="L102" s="6" t="str">
        <f>IFERROR(
VLOOKUP(
TRIM(
IF(ISNUMBER(FIND(",",E102)),
LEFT(E102,FIND(",",E102)-1),
E102
)
),
master!A:B,
2,
FALSE
),
"Belum ada mapping"
)
</f>
        <v>Jakarta</v>
      </c>
      <c r="M102" s="6">
        <f>IFERROR(__xludf.DUMMYFUNCTION("IF(REGEXMATCH(I102,""Cari Kerja""),1,0)
"),0.0)</f>
        <v>0</v>
      </c>
      <c r="N102" s="6">
        <f>IFERROR(__xludf.DUMMYFUNCTION("IF(REGEXMATCH(I102,""Upskill""),1,0)
"),1.0)</f>
        <v>1</v>
      </c>
      <c r="O102" s="6">
        <f>IFERROR(__xludf.DUMMYFUNCTION("IF(REGEXMATCH(I102,""Networking""),1,0)
"),1.0)</f>
        <v>1</v>
      </c>
      <c r="P102" s="6">
        <f>IFERROR(__xludf.DUMMYFUNCTION("IF(REGEXMATCH(I102,""Switch Career""),1,0)
"),0.0)</f>
        <v>0</v>
      </c>
    </row>
    <row r="103" ht="22.5" customHeight="1">
      <c r="A103" s="3">
        <v>46102.78546003472</v>
      </c>
      <c r="B103" s="5" t="s">
        <v>514</v>
      </c>
      <c r="C103" s="5" t="s">
        <v>515</v>
      </c>
      <c r="D103" s="4" t="s">
        <v>516</v>
      </c>
      <c r="E103" s="5" t="s">
        <v>113</v>
      </c>
      <c r="F103" s="5" t="s">
        <v>49</v>
      </c>
      <c r="G103" s="5" t="s">
        <v>149</v>
      </c>
      <c r="H103" s="5" t="s">
        <v>517</v>
      </c>
      <c r="I103" s="5" t="s">
        <v>154</v>
      </c>
      <c r="J103" s="5" t="s">
        <v>24</v>
      </c>
      <c r="K103" s="10" t="str">
        <f t="shared" si="1"/>
        <v>081377472205</v>
      </c>
      <c r="L103" s="10" t="str">
        <f>IFERROR(
VLOOKUP(
TRIM(
IF(ISNUMBER(FIND(",",E103)),
LEFT(E103,FIND(",",E103)-1),
E103
)
),
master!A:B,
2,
FALSE
),
"Belum ada mapping"
)
</f>
        <v>Sumatera Utara</v>
      </c>
      <c r="M103" s="10">
        <f>IFERROR(__xludf.DUMMYFUNCTION("IF(REGEXMATCH(I103,""Cari Kerja""),1,0)
"),0.0)</f>
        <v>0</v>
      </c>
      <c r="N103" s="10">
        <f>IFERROR(__xludf.DUMMYFUNCTION("IF(REGEXMATCH(I103,""Upskill""),1,0)
"),1.0)</f>
        <v>1</v>
      </c>
      <c r="O103" s="10">
        <f>IFERROR(__xludf.DUMMYFUNCTION("IF(REGEXMATCH(I103,""Networking""),1,0)
"),0.0)</f>
        <v>0</v>
      </c>
      <c r="P103" s="10">
        <f>IFERROR(__xludf.DUMMYFUNCTION("IF(REGEXMATCH(I103,""Switch Career""),1,0)
"),1.0)</f>
        <v>1</v>
      </c>
    </row>
    <row r="104" ht="22.5" customHeight="1">
      <c r="A104" s="3">
        <v>46043.26924325232</v>
      </c>
      <c r="B104" s="5" t="s">
        <v>518</v>
      </c>
      <c r="C104" s="5" t="s">
        <v>519</v>
      </c>
      <c r="D104" s="4" t="s">
        <v>520</v>
      </c>
      <c r="E104" s="5" t="s">
        <v>122</v>
      </c>
      <c r="F104" s="5" t="s">
        <v>20</v>
      </c>
      <c r="G104" s="5" t="s">
        <v>521</v>
      </c>
      <c r="H104" s="5" t="s">
        <v>509</v>
      </c>
      <c r="I104" s="5" t="s">
        <v>23</v>
      </c>
      <c r="J104" s="5" t="s">
        <v>38</v>
      </c>
      <c r="K104" s="6" t="str">
        <f t="shared" si="1"/>
        <v>085227227164</v>
      </c>
      <c r="L104" s="6" t="str">
        <f>IFERROR(
VLOOKUP(
TRIM(
IF(ISNUMBER(FIND(",",E104)),
LEFT(E104,FIND(",",E104)-1),
E104
)
),
master!A:B,
2,
FALSE
),
"Belum ada mapping"
)
</f>
        <v>Sulawesi Selatan</v>
      </c>
      <c r="M104" s="6">
        <f>IFERROR(__xludf.DUMMYFUNCTION("IF(REGEXMATCH(I104,""Cari Kerja""),1,0)
"),1.0)</f>
        <v>1</v>
      </c>
      <c r="N104" s="6">
        <f>IFERROR(__xludf.DUMMYFUNCTION("IF(REGEXMATCH(I104,""Upskill""),1,0)
"),1.0)</f>
        <v>1</v>
      </c>
      <c r="O104" s="6">
        <f>IFERROR(__xludf.DUMMYFUNCTION("IF(REGEXMATCH(I104,""Networking""),1,0)
"),1.0)</f>
        <v>1</v>
      </c>
      <c r="P104" s="6">
        <f>IFERROR(__xludf.DUMMYFUNCTION("IF(REGEXMATCH(I104,""Switch Career""),1,0)
"),0.0)</f>
        <v>0</v>
      </c>
    </row>
    <row r="105" ht="22.5" customHeight="1">
      <c r="A105" s="3">
        <v>46046.54080775463</v>
      </c>
      <c r="B105" s="5" t="s">
        <v>522</v>
      </c>
      <c r="C105" s="5" t="s">
        <v>523</v>
      </c>
      <c r="D105" s="4" t="s">
        <v>524</v>
      </c>
      <c r="E105" s="5" t="s">
        <v>525</v>
      </c>
      <c r="F105" s="5" t="s">
        <v>20</v>
      </c>
      <c r="G105" s="5" t="s">
        <v>69</v>
      </c>
      <c r="H105" s="5" t="s">
        <v>51</v>
      </c>
      <c r="I105" s="5" t="s">
        <v>23</v>
      </c>
      <c r="J105" s="5" t="s">
        <v>38</v>
      </c>
      <c r="K105" s="6" t="str">
        <f t="shared" si="1"/>
        <v>082137707479</v>
      </c>
      <c r="L105" s="6" t="str">
        <f>IFERROR(
VLOOKUP(
TRIM(
IF(ISNUMBER(FIND(",",E105)),
LEFT(E105,FIND(",",E105)-1),
E105
)
),
master!A:B,
2,
FALSE
),
"Belum ada mapping"
)
</f>
        <v>Jawa Tengah</v>
      </c>
      <c r="M105" s="6">
        <f>IFERROR(__xludf.DUMMYFUNCTION("IF(REGEXMATCH(I105,""Cari Kerja""),1,0)
"),1.0)</f>
        <v>1</v>
      </c>
      <c r="N105" s="6">
        <f>IFERROR(__xludf.DUMMYFUNCTION("IF(REGEXMATCH(I105,""Upskill""),1,0)
"),1.0)</f>
        <v>1</v>
      </c>
      <c r="O105" s="6">
        <f>IFERROR(__xludf.DUMMYFUNCTION("IF(REGEXMATCH(I105,""Networking""),1,0)
"),1.0)</f>
        <v>1</v>
      </c>
      <c r="P105" s="6">
        <f>IFERROR(__xludf.DUMMYFUNCTION("IF(REGEXMATCH(I105,""Switch Career""),1,0)
"),0.0)</f>
        <v>0</v>
      </c>
    </row>
    <row r="106" ht="22.5" customHeight="1">
      <c r="A106" s="7">
        <v>46040.81228680555</v>
      </c>
      <c r="B106" s="8" t="s">
        <v>526</v>
      </c>
      <c r="C106" s="8" t="s">
        <v>527</v>
      </c>
      <c r="D106" s="9" t="s">
        <v>528</v>
      </c>
      <c r="E106" s="8" t="s">
        <v>529</v>
      </c>
      <c r="F106" s="8" t="s">
        <v>20</v>
      </c>
      <c r="G106" s="8" t="s">
        <v>530</v>
      </c>
      <c r="H106" s="8" t="s">
        <v>531</v>
      </c>
      <c r="I106" s="8" t="s">
        <v>31</v>
      </c>
      <c r="J106" s="8" t="s">
        <v>76</v>
      </c>
      <c r="K106" s="6" t="str">
        <f t="shared" si="1"/>
        <v>082234864963</v>
      </c>
      <c r="L106" s="6" t="str">
        <f>IFERROR(
VLOOKUP(
TRIM(
IF(ISNUMBER(FIND(",",E106)),
LEFT(E106,FIND(",",E106)-1),
E106
)
),
master!A:B,
2,
FALSE
),
"Belum ada mapping"
)
</f>
        <v>Jawa Timur</v>
      </c>
      <c r="M106" s="6">
        <f>IFERROR(__xludf.DUMMYFUNCTION("IF(REGEXMATCH(I106,""Cari Kerja""),1,0)
"),1.0)</f>
        <v>1</v>
      </c>
      <c r="N106" s="6">
        <f>IFERROR(__xludf.DUMMYFUNCTION("IF(REGEXMATCH(I106,""Upskill""),1,0)
"),1.0)</f>
        <v>1</v>
      </c>
      <c r="O106" s="6">
        <f>IFERROR(__xludf.DUMMYFUNCTION("IF(REGEXMATCH(I106,""Networking""),1,0)
"),1.0)</f>
        <v>1</v>
      </c>
      <c r="P106" s="6">
        <f>IFERROR(__xludf.DUMMYFUNCTION("IF(REGEXMATCH(I106,""Switch Career""),1,0)
"),1.0)</f>
        <v>1</v>
      </c>
    </row>
    <row r="107" ht="22.5" customHeight="1">
      <c r="A107" s="3">
        <v>46043.46504101851</v>
      </c>
      <c r="B107" s="5" t="s">
        <v>532</v>
      </c>
      <c r="C107" s="5" t="s">
        <v>533</v>
      </c>
      <c r="D107" s="4" t="s">
        <v>534</v>
      </c>
      <c r="E107" s="5" t="s">
        <v>535</v>
      </c>
      <c r="F107" s="5" t="s">
        <v>49</v>
      </c>
      <c r="G107" s="5" t="s">
        <v>536</v>
      </c>
      <c r="H107" s="5" t="s">
        <v>51</v>
      </c>
      <c r="I107" s="5" t="s">
        <v>31</v>
      </c>
      <c r="J107" s="5" t="s">
        <v>24</v>
      </c>
      <c r="K107" s="6" t="str">
        <f t="shared" si="1"/>
        <v>085973146721</v>
      </c>
      <c r="L107" s="6" t="str">
        <f>IFERROR(
VLOOKUP(
TRIM(
IF(ISNUMBER(FIND(",",E107)),
LEFT(E107,FIND(",",E107)-1),
E107
)
),
master!A:B,
2,
FALSE
),
"Belum ada mapping"
)
</f>
        <v>Jakarta</v>
      </c>
      <c r="M107" s="6">
        <f>IFERROR(__xludf.DUMMYFUNCTION("IF(REGEXMATCH(I107,""Cari Kerja""),1,0)
"),1.0)</f>
        <v>1</v>
      </c>
      <c r="N107" s="6">
        <f>IFERROR(__xludf.DUMMYFUNCTION("IF(REGEXMATCH(I107,""Upskill""),1,0)
"),1.0)</f>
        <v>1</v>
      </c>
      <c r="O107" s="6">
        <f>IFERROR(__xludf.DUMMYFUNCTION("IF(REGEXMATCH(I107,""Networking""),1,0)
"),1.0)</f>
        <v>1</v>
      </c>
      <c r="P107" s="6">
        <f>IFERROR(__xludf.DUMMYFUNCTION("IF(REGEXMATCH(I107,""Switch Career""),1,0)
"),1.0)</f>
        <v>1</v>
      </c>
    </row>
    <row r="108" ht="22.5" customHeight="1">
      <c r="A108" s="3">
        <v>46057.49873449074</v>
      </c>
      <c r="B108" s="5" t="s">
        <v>537</v>
      </c>
      <c r="C108" s="5" t="s">
        <v>533</v>
      </c>
      <c r="D108" s="4" t="s">
        <v>534</v>
      </c>
      <c r="E108" s="5" t="s">
        <v>538</v>
      </c>
      <c r="F108" s="5" t="s">
        <v>49</v>
      </c>
      <c r="G108" s="5" t="s">
        <v>539</v>
      </c>
      <c r="H108" s="5" t="s">
        <v>540</v>
      </c>
      <c r="I108" s="5" t="s">
        <v>31</v>
      </c>
      <c r="J108" s="5" t="s">
        <v>24</v>
      </c>
      <c r="K108" s="10" t="str">
        <f t="shared" si="1"/>
        <v>085973146721</v>
      </c>
      <c r="L108" s="10" t="str">
        <f>IFERROR(
VLOOKUP(
TRIM(
IF(ISNUMBER(FIND(",",E108)),
LEFT(E108,FIND(",",E108)-1),
E108
)
),
master!A:B,
2,
FALSE
),
"Belum ada mapping"
)
</f>
        <v>Jakarta</v>
      </c>
      <c r="M108" s="10">
        <f>IFERROR(__xludf.DUMMYFUNCTION("IF(REGEXMATCH(I108,""Cari Kerja""),1,0)
"),1.0)</f>
        <v>1</v>
      </c>
      <c r="N108" s="10">
        <f>IFERROR(__xludf.DUMMYFUNCTION("IF(REGEXMATCH(I108,""Upskill""),1,0)
"),1.0)</f>
        <v>1</v>
      </c>
      <c r="O108" s="10">
        <f>IFERROR(__xludf.DUMMYFUNCTION("IF(REGEXMATCH(I108,""Networking""),1,0)
"),1.0)</f>
        <v>1</v>
      </c>
      <c r="P108" s="10">
        <f>IFERROR(__xludf.DUMMYFUNCTION("IF(REGEXMATCH(I108,""Switch Career""),1,0)
"),1.0)</f>
        <v>1</v>
      </c>
    </row>
    <row r="109" ht="22.5" customHeight="1">
      <c r="A109" s="3">
        <v>46120.786991180554</v>
      </c>
      <c r="B109" s="5" t="s">
        <v>541</v>
      </c>
      <c r="C109" s="5" t="s">
        <v>542</v>
      </c>
      <c r="D109" s="4" t="s">
        <v>543</v>
      </c>
      <c r="E109" s="5" t="s">
        <v>414</v>
      </c>
      <c r="F109" s="5" t="s">
        <v>20</v>
      </c>
      <c r="G109" s="5" t="s">
        <v>544</v>
      </c>
      <c r="H109" s="5" t="s">
        <v>51</v>
      </c>
      <c r="I109" s="5" t="s">
        <v>23</v>
      </c>
      <c r="J109" s="5" t="s">
        <v>24</v>
      </c>
      <c r="K109" s="10" t="str">
        <f t="shared" si="1"/>
        <v>081222769057</v>
      </c>
      <c r="L109" s="10" t="str">
        <f>IFERROR(
VLOOKUP(
TRIM(
IF(ISNUMBER(FIND(",",E109)),
LEFT(E109,FIND(",",E109)-1),
E109
)
),
master!A:B,
2,
FALSE
),
"Belum ada mapping"
)
</f>
        <v>DI Yogyakarta</v>
      </c>
      <c r="M109" s="10">
        <f>IFERROR(__xludf.DUMMYFUNCTION("IF(REGEXMATCH(I109,""Cari Kerja""),1,0)
"),1.0)</f>
        <v>1</v>
      </c>
      <c r="N109" s="10">
        <f>IFERROR(__xludf.DUMMYFUNCTION("IF(REGEXMATCH(I109,""Upskill""),1,0)
"),1.0)</f>
        <v>1</v>
      </c>
      <c r="O109" s="10">
        <f>IFERROR(__xludf.DUMMYFUNCTION("IF(REGEXMATCH(I109,""Networking""),1,0)
"),1.0)</f>
        <v>1</v>
      </c>
      <c r="P109" s="10">
        <f>IFERROR(__xludf.DUMMYFUNCTION("IF(REGEXMATCH(I109,""Switch Career""),1,0)
"),0.0)</f>
        <v>0</v>
      </c>
    </row>
    <row r="110" ht="22.5" customHeight="1">
      <c r="A110" s="3">
        <v>46041.52212390046</v>
      </c>
      <c r="B110" s="5" t="s">
        <v>545</v>
      </c>
      <c r="C110" s="5" t="s">
        <v>546</v>
      </c>
      <c r="D110" s="4" t="s">
        <v>547</v>
      </c>
      <c r="E110" s="5" t="s">
        <v>92</v>
      </c>
      <c r="F110" s="5" t="s">
        <v>20</v>
      </c>
      <c r="G110" s="5" t="s">
        <v>448</v>
      </c>
      <c r="H110" s="5" t="s">
        <v>51</v>
      </c>
      <c r="I110" s="5" t="s">
        <v>23</v>
      </c>
      <c r="J110" s="5" t="s">
        <v>24</v>
      </c>
      <c r="K110" s="6" t="str">
        <f t="shared" si="1"/>
        <v>085176910924</v>
      </c>
      <c r="L110" s="6" t="str">
        <f>IFERROR(
VLOOKUP(
TRIM(
IF(ISNUMBER(FIND(",",E110)),
LEFT(E110,FIND(",",E110)-1),
E110
)
),
master!A:B,
2,
FALSE
),
"Belum ada mapping"
)
</f>
        <v>Jawa Barat</v>
      </c>
      <c r="M110" s="6">
        <f>IFERROR(__xludf.DUMMYFUNCTION("IF(REGEXMATCH(I110,""Cari Kerja""),1,0)
"),1.0)</f>
        <v>1</v>
      </c>
      <c r="N110" s="6">
        <f>IFERROR(__xludf.DUMMYFUNCTION("IF(REGEXMATCH(I110,""Upskill""),1,0)
"),1.0)</f>
        <v>1</v>
      </c>
      <c r="O110" s="6">
        <f>IFERROR(__xludf.DUMMYFUNCTION("IF(REGEXMATCH(I110,""Networking""),1,0)
"),1.0)</f>
        <v>1</v>
      </c>
      <c r="P110" s="6">
        <f>IFERROR(__xludf.DUMMYFUNCTION("IF(REGEXMATCH(I110,""Switch Career""),1,0)
"),0.0)</f>
        <v>0</v>
      </c>
    </row>
    <row r="111" ht="22.5" customHeight="1">
      <c r="A111" s="3">
        <v>46064.40661505787</v>
      </c>
      <c r="B111" s="5" t="s">
        <v>548</v>
      </c>
      <c r="C111" s="5" t="s">
        <v>549</v>
      </c>
      <c r="D111" s="4" t="s">
        <v>550</v>
      </c>
      <c r="E111" s="5" t="s">
        <v>551</v>
      </c>
      <c r="F111" s="5" t="s">
        <v>20</v>
      </c>
      <c r="G111" s="5" t="s">
        <v>552</v>
      </c>
      <c r="H111" s="5" t="s">
        <v>30</v>
      </c>
      <c r="I111" s="5" t="s">
        <v>130</v>
      </c>
      <c r="J111" s="5" t="s">
        <v>24</v>
      </c>
      <c r="K111" s="10" t="str">
        <f t="shared" si="1"/>
        <v>081384257750</v>
      </c>
      <c r="L111" s="10" t="str">
        <f>IFERROR(
VLOOKUP(
TRIM(
IF(ISNUMBER(FIND(",",E111)),
LEFT(E111,FIND(",",E111)-1),
E111
)
),
master!A:B,
2,
FALSE
),
"Belum ada mapping"
)
</f>
        <v>Jawa Barat</v>
      </c>
      <c r="M111" s="10">
        <f>IFERROR(__xludf.DUMMYFUNCTION("IF(REGEXMATCH(I111,""Cari Kerja""),1,0)
"),1.0)</f>
        <v>1</v>
      </c>
      <c r="N111" s="10">
        <f>IFERROR(__xludf.DUMMYFUNCTION("IF(REGEXMATCH(I111,""Upskill""),1,0)
"),1.0)</f>
        <v>1</v>
      </c>
      <c r="O111" s="10">
        <f>IFERROR(__xludf.DUMMYFUNCTION("IF(REGEXMATCH(I111,""Networking""),1,0)
"),0.0)</f>
        <v>0</v>
      </c>
      <c r="P111" s="10">
        <f>IFERROR(__xludf.DUMMYFUNCTION("IF(REGEXMATCH(I111,""Switch Career""),1,0)
"),0.0)</f>
        <v>0</v>
      </c>
    </row>
    <row r="112" ht="22.5" customHeight="1">
      <c r="A112" s="3">
        <v>46043.27602528935</v>
      </c>
      <c r="B112" s="5" t="s">
        <v>553</v>
      </c>
      <c r="C112" s="5" t="s">
        <v>554</v>
      </c>
      <c r="D112" s="4" t="s">
        <v>555</v>
      </c>
      <c r="E112" s="5" t="s">
        <v>28</v>
      </c>
      <c r="F112" s="5" t="s">
        <v>20</v>
      </c>
      <c r="G112" s="5" t="s">
        <v>556</v>
      </c>
      <c r="H112" s="5" t="s">
        <v>557</v>
      </c>
      <c r="I112" s="5" t="s">
        <v>23</v>
      </c>
      <c r="J112" s="5" t="s">
        <v>24</v>
      </c>
      <c r="K112" s="6" t="str">
        <f t="shared" si="1"/>
        <v>085156515394</v>
      </c>
      <c r="L112" s="6" t="str">
        <f>IFERROR(
VLOOKUP(
TRIM(
IF(ISNUMBER(FIND(",",E112)),
LEFT(E112,FIND(",",E112)-1),
E112
)
),
master!A:B,
2,
FALSE
),
"Belum ada mapping"
)
</f>
        <v>Sumatera Barat</v>
      </c>
      <c r="M112" s="6">
        <f>IFERROR(__xludf.DUMMYFUNCTION("IF(REGEXMATCH(I112,""Cari Kerja""),1,0)
"),1.0)</f>
        <v>1</v>
      </c>
      <c r="N112" s="6">
        <f>IFERROR(__xludf.DUMMYFUNCTION("IF(REGEXMATCH(I112,""Upskill""),1,0)
"),1.0)</f>
        <v>1</v>
      </c>
      <c r="O112" s="6">
        <f>IFERROR(__xludf.DUMMYFUNCTION("IF(REGEXMATCH(I112,""Networking""),1,0)
"),1.0)</f>
        <v>1</v>
      </c>
      <c r="P112" s="6">
        <f>IFERROR(__xludf.DUMMYFUNCTION("IF(REGEXMATCH(I112,""Switch Career""),1,0)
"),0.0)</f>
        <v>0</v>
      </c>
    </row>
    <row r="113" ht="22.5" customHeight="1">
      <c r="A113" s="3">
        <v>46046.276851319446</v>
      </c>
      <c r="B113" s="5" t="s">
        <v>558</v>
      </c>
      <c r="C113" s="5" t="s">
        <v>559</v>
      </c>
      <c r="D113" s="4" t="s">
        <v>560</v>
      </c>
      <c r="E113" s="5" t="s">
        <v>122</v>
      </c>
      <c r="F113" s="5" t="s">
        <v>49</v>
      </c>
      <c r="G113" s="5" t="s">
        <v>561</v>
      </c>
      <c r="H113" s="5" t="s">
        <v>51</v>
      </c>
      <c r="I113" s="5" t="s">
        <v>31</v>
      </c>
      <c r="J113" s="5" t="s">
        <v>24</v>
      </c>
      <c r="K113" s="6" t="str">
        <f t="shared" si="1"/>
        <v>085656564143</v>
      </c>
      <c r="L113" s="6" t="str">
        <f>IFERROR(
VLOOKUP(
TRIM(
IF(ISNUMBER(FIND(",",E113)),
LEFT(E113,FIND(",",E113)-1),
E113
)
),
master!A:B,
2,
FALSE
),
"Belum ada mapping"
)
</f>
        <v>Sulawesi Selatan</v>
      </c>
      <c r="M113" s="6">
        <f>IFERROR(__xludf.DUMMYFUNCTION("IF(REGEXMATCH(I113,""Cari Kerja""),1,0)
"),1.0)</f>
        <v>1</v>
      </c>
      <c r="N113" s="6">
        <f>IFERROR(__xludf.DUMMYFUNCTION("IF(REGEXMATCH(I113,""Upskill""),1,0)
"),1.0)</f>
        <v>1</v>
      </c>
      <c r="O113" s="6">
        <f>IFERROR(__xludf.DUMMYFUNCTION("IF(REGEXMATCH(I113,""Networking""),1,0)
"),1.0)</f>
        <v>1</v>
      </c>
      <c r="P113" s="6">
        <f>IFERROR(__xludf.DUMMYFUNCTION("IF(REGEXMATCH(I113,""Switch Career""),1,0)
"),1.0)</f>
        <v>1</v>
      </c>
    </row>
    <row r="114" ht="22.5" customHeight="1">
      <c r="A114" s="7">
        <v>46040.36394930555</v>
      </c>
      <c r="B114" s="8" t="s">
        <v>562</v>
      </c>
      <c r="C114" s="8" t="s">
        <v>563</v>
      </c>
      <c r="D114" s="9" t="s">
        <v>564</v>
      </c>
      <c r="E114" s="8" t="s">
        <v>565</v>
      </c>
      <c r="F114" s="8" t="s">
        <v>49</v>
      </c>
      <c r="G114" s="8" t="s">
        <v>566</v>
      </c>
      <c r="H114" s="8" t="s">
        <v>567</v>
      </c>
      <c r="I114" s="8" t="s">
        <v>154</v>
      </c>
      <c r="J114" s="8" t="s">
        <v>24</v>
      </c>
      <c r="K114" s="6" t="str">
        <f t="shared" si="1"/>
        <v>081346213517</v>
      </c>
      <c r="L114" s="6" t="str">
        <f>IFERROR(
VLOOKUP(
TRIM(
IF(ISNUMBER(FIND(",",E114)),
LEFT(E114,FIND(",",E114)-1),
E114
)
),
master!A:B,
2,
FALSE
),
"Belum ada mapping"
)
</f>
        <v>Riau</v>
      </c>
      <c r="M114" s="6">
        <f>IFERROR(__xludf.DUMMYFUNCTION("IF(REGEXMATCH(I114,""Cari Kerja""),1,0)
"),0.0)</f>
        <v>0</v>
      </c>
      <c r="N114" s="6">
        <f>IFERROR(__xludf.DUMMYFUNCTION("IF(REGEXMATCH(I114,""Upskill""),1,0)
"),1.0)</f>
        <v>1</v>
      </c>
      <c r="O114" s="6">
        <f>IFERROR(__xludf.DUMMYFUNCTION("IF(REGEXMATCH(I114,""Networking""),1,0)
"),0.0)</f>
        <v>0</v>
      </c>
      <c r="P114" s="6">
        <f>IFERROR(__xludf.DUMMYFUNCTION("IF(REGEXMATCH(I114,""Switch Career""),1,0)
"),1.0)</f>
        <v>1</v>
      </c>
    </row>
    <row r="115" ht="22.5" customHeight="1">
      <c r="A115" s="3">
        <v>46045.292799097224</v>
      </c>
      <c r="B115" s="5" t="s">
        <v>568</v>
      </c>
      <c r="C115" s="5" t="s">
        <v>569</v>
      </c>
      <c r="D115" s="4" t="s">
        <v>570</v>
      </c>
      <c r="E115" s="5" t="s">
        <v>571</v>
      </c>
      <c r="F115" s="5" t="s">
        <v>20</v>
      </c>
      <c r="G115" s="5" t="s">
        <v>69</v>
      </c>
      <c r="H115" s="5" t="s">
        <v>51</v>
      </c>
      <c r="I115" s="5" t="s">
        <v>130</v>
      </c>
      <c r="J115" s="5" t="s">
        <v>24</v>
      </c>
      <c r="K115" s="6" t="str">
        <f t="shared" si="1"/>
        <v>082124529106</v>
      </c>
      <c r="L115" s="6" t="str">
        <f>IFERROR(
VLOOKUP(
TRIM(
IF(ISNUMBER(FIND(",",E115)),
LEFT(E115,FIND(",",E115)-1),
E115
)
),
master!A:B,
2,
FALSE
),
"Belum ada mapping"
)
</f>
        <v>Jawa Barat</v>
      </c>
      <c r="M115" s="6">
        <f>IFERROR(__xludf.DUMMYFUNCTION("IF(REGEXMATCH(I115,""Cari Kerja""),1,0)
"),1.0)</f>
        <v>1</v>
      </c>
      <c r="N115" s="6">
        <f>IFERROR(__xludf.DUMMYFUNCTION("IF(REGEXMATCH(I115,""Upskill""),1,0)
"),1.0)</f>
        <v>1</v>
      </c>
      <c r="O115" s="6">
        <f>IFERROR(__xludf.DUMMYFUNCTION("IF(REGEXMATCH(I115,""Networking""),1,0)
"),0.0)</f>
        <v>0</v>
      </c>
      <c r="P115" s="6">
        <f>IFERROR(__xludf.DUMMYFUNCTION("IF(REGEXMATCH(I115,""Switch Career""),1,0)
"),0.0)</f>
        <v>0</v>
      </c>
    </row>
    <row r="116" ht="22.5" customHeight="1">
      <c r="A116" s="3">
        <v>46143.50602028935</v>
      </c>
      <c r="B116" s="5" t="s">
        <v>572</v>
      </c>
      <c r="C116" s="5" t="s">
        <v>573</v>
      </c>
      <c r="D116" s="4" t="s">
        <v>574</v>
      </c>
      <c r="E116" s="5" t="s">
        <v>575</v>
      </c>
      <c r="F116" s="5" t="s">
        <v>20</v>
      </c>
      <c r="G116" s="5" t="s">
        <v>576</v>
      </c>
      <c r="H116" s="5" t="s">
        <v>577</v>
      </c>
      <c r="I116" s="5" t="s">
        <v>23</v>
      </c>
      <c r="J116" s="5" t="s">
        <v>38</v>
      </c>
      <c r="K116" s="10" t="str">
        <f t="shared" si="1"/>
        <v>085150766617</v>
      </c>
      <c r="L116" s="10" t="str">
        <f>IFERROR(
VLOOKUP(
TRIM(
IF(ISNUMBER(FIND(",",E116)),
LEFT(E116,FIND(",",E116)-1),
E116
)
),
master!A:B,
2,
FALSE
),
"Belum ada mapping"
)
</f>
        <v>Jawa Tengah</v>
      </c>
      <c r="M116" s="10">
        <f>IFERROR(__xludf.DUMMYFUNCTION("IF(REGEXMATCH(I116,""Cari Kerja""),1,0)
"),1.0)</f>
        <v>1</v>
      </c>
      <c r="N116" s="10">
        <f>IFERROR(__xludf.DUMMYFUNCTION("IF(REGEXMATCH(I116,""Upskill""),1,0)
"),1.0)</f>
        <v>1</v>
      </c>
      <c r="O116" s="10">
        <f>IFERROR(__xludf.DUMMYFUNCTION("IF(REGEXMATCH(I116,""Networking""),1,0)
"),1.0)</f>
        <v>1</v>
      </c>
      <c r="P116" s="10">
        <f>IFERROR(__xludf.DUMMYFUNCTION("IF(REGEXMATCH(I116,""Switch Career""),1,0)
"),0.0)</f>
        <v>0</v>
      </c>
    </row>
    <row r="117" ht="22.5" customHeight="1">
      <c r="A117" s="7">
        <v>46040.37040962963</v>
      </c>
      <c r="B117" s="8" t="s">
        <v>578</v>
      </c>
      <c r="C117" s="8" t="s">
        <v>579</v>
      </c>
      <c r="D117" s="9" t="s">
        <v>580</v>
      </c>
      <c r="E117" s="8" t="s">
        <v>74</v>
      </c>
      <c r="F117" s="8" t="s">
        <v>49</v>
      </c>
      <c r="G117" s="8" t="s">
        <v>581</v>
      </c>
      <c r="H117" s="8" t="s">
        <v>582</v>
      </c>
      <c r="I117" s="8" t="s">
        <v>130</v>
      </c>
      <c r="J117" s="8" t="s">
        <v>38</v>
      </c>
      <c r="K117" s="6" t="str">
        <f t="shared" si="1"/>
        <v>08336853013</v>
      </c>
      <c r="L117" s="6" t="str">
        <f>IFERROR(
VLOOKUP(
TRIM(
IF(ISNUMBER(FIND(",",E117)),
LEFT(E117,FIND(",",E117)-1),
E117
)
),
master!A:B,
2,
FALSE
),
"Belum ada mapping"
)
</f>
        <v>Banten</v>
      </c>
      <c r="M117" s="6">
        <f>IFERROR(__xludf.DUMMYFUNCTION("IF(REGEXMATCH(I117,""Cari Kerja""),1,0)
"),1.0)</f>
        <v>1</v>
      </c>
      <c r="N117" s="6">
        <f>IFERROR(__xludf.DUMMYFUNCTION("IF(REGEXMATCH(I117,""Upskill""),1,0)
"),1.0)</f>
        <v>1</v>
      </c>
      <c r="O117" s="6">
        <f>IFERROR(__xludf.DUMMYFUNCTION("IF(REGEXMATCH(I117,""Networking""),1,0)
"),0.0)</f>
        <v>0</v>
      </c>
      <c r="P117" s="6">
        <f>IFERROR(__xludf.DUMMYFUNCTION("IF(REGEXMATCH(I117,""Switch Career""),1,0)
"),0.0)</f>
        <v>0</v>
      </c>
    </row>
    <row r="118" ht="22.5" customHeight="1">
      <c r="A118" s="7">
        <v>46040.54152028935</v>
      </c>
      <c r="B118" s="8" t="s">
        <v>583</v>
      </c>
      <c r="C118" s="8" t="s">
        <v>584</v>
      </c>
      <c r="D118" s="9" t="s">
        <v>585</v>
      </c>
      <c r="E118" s="8" t="s">
        <v>174</v>
      </c>
      <c r="F118" s="8" t="s">
        <v>20</v>
      </c>
      <c r="G118" s="8" t="s">
        <v>586</v>
      </c>
      <c r="H118" s="8" t="s">
        <v>51</v>
      </c>
      <c r="I118" s="8" t="s">
        <v>23</v>
      </c>
      <c r="J118" s="8" t="s">
        <v>24</v>
      </c>
      <c r="K118" s="6" t="str">
        <f t="shared" si="1"/>
        <v>081387006088</v>
      </c>
      <c r="L118" s="6" t="str">
        <f>IFERROR(
VLOOKUP(
TRIM(
IF(ISNUMBER(FIND(",",E118)),
LEFT(E118,FIND(",",E118)-1),
E118
)
),
master!A:B,
2,
FALSE
),
"Belum ada mapping"
)
</f>
        <v>Jawa Timur</v>
      </c>
      <c r="M118" s="6">
        <f>IFERROR(__xludf.DUMMYFUNCTION("IF(REGEXMATCH(I118,""Cari Kerja""),1,0)
"),1.0)</f>
        <v>1</v>
      </c>
      <c r="N118" s="6">
        <f>IFERROR(__xludf.DUMMYFUNCTION("IF(REGEXMATCH(I118,""Upskill""),1,0)
"),1.0)</f>
        <v>1</v>
      </c>
      <c r="O118" s="6">
        <f>IFERROR(__xludf.DUMMYFUNCTION("IF(REGEXMATCH(I118,""Networking""),1,0)
"),1.0)</f>
        <v>1</v>
      </c>
      <c r="P118" s="6">
        <f>IFERROR(__xludf.DUMMYFUNCTION("IF(REGEXMATCH(I118,""Switch Career""),1,0)
"),0.0)</f>
        <v>0</v>
      </c>
    </row>
    <row r="119" ht="22.5" customHeight="1">
      <c r="A119" s="3">
        <v>46064.421725277774</v>
      </c>
      <c r="B119" s="5" t="s">
        <v>583</v>
      </c>
      <c r="C119" s="5" t="s">
        <v>584</v>
      </c>
      <c r="D119" s="4" t="s">
        <v>587</v>
      </c>
      <c r="E119" s="5" t="s">
        <v>174</v>
      </c>
      <c r="F119" s="5" t="s">
        <v>20</v>
      </c>
      <c r="G119" s="5" t="s">
        <v>586</v>
      </c>
      <c r="H119" s="5" t="s">
        <v>51</v>
      </c>
      <c r="I119" s="5" t="s">
        <v>23</v>
      </c>
      <c r="J119" s="5" t="s">
        <v>76</v>
      </c>
      <c r="K119" s="10" t="str">
        <f t="shared" si="1"/>
        <v>091387006088</v>
      </c>
      <c r="L119" s="10" t="str">
        <f>IFERROR(
VLOOKUP(
TRIM(
IF(ISNUMBER(FIND(",",E119)),
LEFT(E119,FIND(",",E119)-1),
E119
)
),
master!A:B,
2,
FALSE
),
"Belum ada mapping"
)
</f>
        <v>Jawa Timur</v>
      </c>
      <c r="M119" s="10">
        <f>IFERROR(__xludf.DUMMYFUNCTION("IF(REGEXMATCH(I119,""Cari Kerja""),1,0)
"),1.0)</f>
        <v>1</v>
      </c>
      <c r="N119" s="10">
        <f>IFERROR(__xludf.DUMMYFUNCTION("IF(REGEXMATCH(I119,""Upskill""),1,0)
"),1.0)</f>
        <v>1</v>
      </c>
      <c r="O119" s="10">
        <f>IFERROR(__xludf.DUMMYFUNCTION("IF(REGEXMATCH(I119,""Networking""),1,0)
"),1.0)</f>
        <v>1</v>
      </c>
      <c r="P119" s="10">
        <f>IFERROR(__xludf.DUMMYFUNCTION("IF(REGEXMATCH(I119,""Switch Career""),1,0)
"),0.0)</f>
        <v>0</v>
      </c>
    </row>
    <row r="120" ht="22.5" customHeight="1">
      <c r="A120" s="7">
        <v>46040.49647637732</v>
      </c>
      <c r="B120" s="8" t="s">
        <v>588</v>
      </c>
      <c r="C120" s="8" t="s">
        <v>589</v>
      </c>
      <c r="D120" s="9" t="s">
        <v>590</v>
      </c>
      <c r="E120" s="8" t="s">
        <v>591</v>
      </c>
      <c r="F120" s="8" t="s">
        <v>20</v>
      </c>
      <c r="G120" s="8" t="s">
        <v>592</v>
      </c>
      <c r="H120" s="8" t="s">
        <v>51</v>
      </c>
      <c r="I120" s="8" t="s">
        <v>13</v>
      </c>
      <c r="J120" s="8" t="s">
        <v>24</v>
      </c>
      <c r="K120" s="6" t="str">
        <f t="shared" si="1"/>
        <v>089699317178</v>
      </c>
      <c r="L120" s="6" t="str">
        <f>IFERROR(
VLOOKUP(
TRIM(
IF(ISNUMBER(FIND(",",E120)),
LEFT(E120,FIND(",",E120)-1),
E120
)
),
master!A:B,
2,
FALSE
),
"Belum ada mapping"
)
</f>
        <v>Kalimantan Barat</v>
      </c>
      <c r="M120" s="6">
        <f>IFERROR(__xludf.DUMMYFUNCTION("IF(REGEXMATCH(I120,""Cari Kerja""),1,0)
"),0.0)</f>
        <v>0</v>
      </c>
      <c r="N120" s="6">
        <f>IFERROR(__xludf.DUMMYFUNCTION("IF(REGEXMATCH(I120,""Upskill""),1,0)
"),1.0)</f>
        <v>1</v>
      </c>
      <c r="O120" s="6">
        <f>IFERROR(__xludf.DUMMYFUNCTION("IF(REGEXMATCH(I120,""Networking""),1,0)
"),0.0)</f>
        <v>0</v>
      </c>
      <c r="P120" s="6">
        <f>IFERROR(__xludf.DUMMYFUNCTION("IF(REGEXMATCH(I120,""Switch Career""),1,0)
"),0.0)</f>
        <v>0</v>
      </c>
    </row>
    <row r="121" ht="22.5" customHeight="1">
      <c r="A121" s="3">
        <v>46048.952454212966</v>
      </c>
      <c r="B121" s="5" t="s">
        <v>588</v>
      </c>
      <c r="C121" s="5" t="s">
        <v>589</v>
      </c>
      <c r="D121" s="4" t="s">
        <v>590</v>
      </c>
      <c r="E121" s="5" t="s">
        <v>591</v>
      </c>
      <c r="F121" s="5" t="s">
        <v>20</v>
      </c>
      <c r="G121" s="5" t="s">
        <v>552</v>
      </c>
      <c r="H121" s="5" t="s">
        <v>93</v>
      </c>
      <c r="I121" s="5" t="s">
        <v>130</v>
      </c>
      <c r="J121" s="5" t="s">
        <v>24</v>
      </c>
      <c r="K121" s="6" t="str">
        <f t="shared" si="1"/>
        <v>089699317178</v>
      </c>
      <c r="L121" s="6" t="str">
        <f>IFERROR(
VLOOKUP(
TRIM(
IF(ISNUMBER(FIND(",",E121)),
LEFT(E121,FIND(",",E121)-1),
E121
)
),
master!A:B,
2,
FALSE
),
"Belum ada mapping"
)
</f>
        <v>Kalimantan Barat</v>
      </c>
      <c r="M121" s="6">
        <f>IFERROR(__xludf.DUMMYFUNCTION("IF(REGEXMATCH(I121,""Cari Kerja""),1,0)
"),1.0)</f>
        <v>1</v>
      </c>
      <c r="N121" s="6">
        <f>IFERROR(__xludf.DUMMYFUNCTION("IF(REGEXMATCH(I121,""Upskill""),1,0)
"),1.0)</f>
        <v>1</v>
      </c>
      <c r="O121" s="6">
        <f>IFERROR(__xludf.DUMMYFUNCTION("IF(REGEXMATCH(I121,""Networking""),1,0)
"),0.0)</f>
        <v>0</v>
      </c>
      <c r="P121" s="6">
        <f>IFERROR(__xludf.DUMMYFUNCTION("IF(REGEXMATCH(I121,""Switch Career""),1,0)
"),0.0)</f>
        <v>0</v>
      </c>
    </row>
    <row r="122" ht="22.5" customHeight="1">
      <c r="A122" s="3">
        <v>46046.5454375</v>
      </c>
      <c r="B122" s="5" t="s">
        <v>593</v>
      </c>
      <c r="C122" s="5" t="s">
        <v>594</v>
      </c>
      <c r="D122" s="4" t="s">
        <v>595</v>
      </c>
      <c r="E122" s="5" t="s">
        <v>596</v>
      </c>
      <c r="F122" s="5" t="s">
        <v>49</v>
      </c>
      <c r="G122" s="5" t="s">
        <v>597</v>
      </c>
      <c r="H122" s="5" t="s">
        <v>181</v>
      </c>
      <c r="I122" s="5" t="s">
        <v>13</v>
      </c>
      <c r="J122" s="5" t="s">
        <v>24</v>
      </c>
      <c r="K122" s="6" t="str">
        <f t="shared" si="1"/>
        <v>08114702672</v>
      </c>
      <c r="L122" s="6" t="str">
        <f>IFERROR(
VLOOKUP(
TRIM(
IF(ISNUMBER(FIND(",",E122)),
LEFT(E122,FIND(",",E122)-1),
E122
)
),
master!A:B,
2,
FALSE
),
"Belum ada mapping"
)
</f>
        <v>Jawa Timur</v>
      </c>
      <c r="M122" s="6">
        <f>IFERROR(__xludf.DUMMYFUNCTION("IF(REGEXMATCH(I122,""Cari Kerja""),1,0)
"),0.0)</f>
        <v>0</v>
      </c>
      <c r="N122" s="6">
        <f>IFERROR(__xludf.DUMMYFUNCTION("IF(REGEXMATCH(I122,""Upskill""),1,0)
"),1.0)</f>
        <v>1</v>
      </c>
      <c r="O122" s="6">
        <f>IFERROR(__xludf.DUMMYFUNCTION("IF(REGEXMATCH(I122,""Networking""),1,0)
"),0.0)</f>
        <v>0</v>
      </c>
      <c r="P122" s="6">
        <f>IFERROR(__xludf.DUMMYFUNCTION("IF(REGEXMATCH(I122,""Switch Career""),1,0)
"),0.0)</f>
        <v>0</v>
      </c>
    </row>
    <row r="123" ht="22.5" customHeight="1">
      <c r="A123" s="3">
        <v>46048.916736134255</v>
      </c>
      <c r="B123" s="5" t="s">
        <v>598</v>
      </c>
      <c r="C123" s="5" t="s">
        <v>599</v>
      </c>
      <c r="D123" s="4" t="s">
        <v>600</v>
      </c>
      <c r="E123" s="5" t="s">
        <v>327</v>
      </c>
      <c r="F123" s="5" t="s">
        <v>49</v>
      </c>
      <c r="G123" s="5" t="s">
        <v>229</v>
      </c>
      <c r="H123" s="5" t="s">
        <v>567</v>
      </c>
      <c r="I123" s="5" t="s">
        <v>31</v>
      </c>
      <c r="J123" s="5" t="s">
        <v>24</v>
      </c>
      <c r="K123" s="6" t="str">
        <f t="shared" si="1"/>
        <v>082231371997</v>
      </c>
      <c r="L123" s="6" t="str">
        <f>IFERROR(
VLOOKUP(
TRIM(
IF(ISNUMBER(FIND(",",E123)),
LEFT(E123,FIND(",",E123)-1),
E123
)
),
master!A:B,
2,
FALSE
),
"Belum ada mapping"
)
</f>
        <v>Jakarta</v>
      </c>
      <c r="M123" s="6">
        <f>IFERROR(__xludf.DUMMYFUNCTION("IF(REGEXMATCH(I123,""Cari Kerja""),1,0)
"),1.0)</f>
        <v>1</v>
      </c>
      <c r="N123" s="6">
        <f>IFERROR(__xludf.DUMMYFUNCTION("IF(REGEXMATCH(I123,""Upskill""),1,0)
"),1.0)</f>
        <v>1</v>
      </c>
      <c r="O123" s="6">
        <f>IFERROR(__xludf.DUMMYFUNCTION("IF(REGEXMATCH(I123,""Networking""),1,0)
"),1.0)</f>
        <v>1</v>
      </c>
      <c r="P123" s="6">
        <f>IFERROR(__xludf.DUMMYFUNCTION("IF(REGEXMATCH(I123,""Switch Career""),1,0)
"),1.0)</f>
        <v>1</v>
      </c>
    </row>
    <row r="124" ht="22.5" customHeight="1">
      <c r="A124" s="7">
        <v>46040.35387412037</v>
      </c>
      <c r="B124" s="8" t="s">
        <v>601</v>
      </c>
      <c r="C124" s="8" t="s">
        <v>602</v>
      </c>
      <c r="D124" s="9" t="s">
        <v>603</v>
      </c>
      <c r="E124" s="8" t="s">
        <v>604</v>
      </c>
      <c r="F124" s="8" t="s">
        <v>20</v>
      </c>
      <c r="G124" s="8" t="s">
        <v>605</v>
      </c>
      <c r="H124" s="8" t="s">
        <v>606</v>
      </c>
      <c r="I124" s="8" t="s">
        <v>23</v>
      </c>
      <c r="J124" s="8" t="s">
        <v>24</v>
      </c>
      <c r="K124" s="6" t="str">
        <f t="shared" si="1"/>
        <v>081461173989</v>
      </c>
      <c r="L124" s="6" t="str">
        <f>IFERROR(
VLOOKUP(
TRIM(
IF(ISNUMBER(FIND(",",E124)),
LEFT(E124,FIND(",",E124)-1),
E124
)
),
master!A:B,
2,
FALSE
),
"Belum ada mapping"
)
</f>
        <v>Jawa Barat</v>
      </c>
      <c r="M124" s="6">
        <f>IFERROR(__xludf.DUMMYFUNCTION("IF(REGEXMATCH(I124,""Cari Kerja""),1,0)
"),1.0)</f>
        <v>1</v>
      </c>
      <c r="N124" s="6">
        <f>IFERROR(__xludf.DUMMYFUNCTION("IF(REGEXMATCH(I124,""Upskill""),1,0)
"),1.0)</f>
        <v>1</v>
      </c>
      <c r="O124" s="6">
        <f>IFERROR(__xludf.DUMMYFUNCTION("IF(REGEXMATCH(I124,""Networking""),1,0)
"),1.0)</f>
        <v>1</v>
      </c>
      <c r="P124" s="6">
        <f>IFERROR(__xludf.DUMMYFUNCTION("IF(REGEXMATCH(I124,""Switch Career""),1,0)
"),0.0)</f>
        <v>0</v>
      </c>
    </row>
    <row r="125" ht="22.5" customHeight="1">
      <c r="A125" s="3">
        <v>46046.53642417824</v>
      </c>
      <c r="B125" s="5" t="s">
        <v>607</v>
      </c>
      <c r="C125" s="5" t="s">
        <v>608</v>
      </c>
      <c r="D125" s="4" t="s">
        <v>609</v>
      </c>
      <c r="E125" s="5" t="s">
        <v>207</v>
      </c>
      <c r="F125" s="5" t="s">
        <v>49</v>
      </c>
      <c r="G125" s="5" t="s">
        <v>229</v>
      </c>
      <c r="H125" s="5" t="s">
        <v>51</v>
      </c>
      <c r="I125" s="5" t="s">
        <v>31</v>
      </c>
      <c r="J125" s="5" t="s">
        <v>24</v>
      </c>
      <c r="K125" s="6" t="str">
        <f t="shared" si="1"/>
        <v>081397257612</v>
      </c>
      <c r="L125" s="6" t="str">
        <f>IFERROR(
VLOOKUP(
TRIM(
IF(ISNUMBER(FIND(",",E125)),
LEFT(E125,FIND(",",E125)-1),
E125
)
),
master!A:B,
2,
FALSE
),
"Belum ada mapping"
)
</f>
        <v>Jakarta</v>
      </c>
      <c r="M125" s="6">
        <f>IFERROR(__xludf.DUMMYFUNCTION("IF(REGEXMATCH(I125,""Cari Kerja""),1,0)
"),1.0)</f>
        <v>1</v>
      </c>
      <c r="N125" s="6">
        <f>IFERROR(__xludf.DUMMYFUNCTION("IF(REGEXMATCH(I125,""Upskill""),1,0)
"),1.0)</f>
        <v>1</v>
      </c>
      <c r="O125" s="6">
        <f>IFERROR(__xludf.DUMMYFUNCTION("IF(REGEXMATCH(I125,""Networking""),1,0)
"),1.0)</f>
        <v>1</v>
      </c>
      <c r="P125" s="6">
        <f>IFERROR(__xludf.DUMMYFUNCTION("IF(REGEXMATCH(I125,""Switch Career""),1,0)
"),1.0)</f>
        <v>1</v>
      </c>
    </row>
    <row r="126" ht="22.5" customHeight="1">
      <c r="A126" s="3">
        <v>46043.4925309838</v>
      </c>
      <c r="B126" s="5" t="s">
        <v>610</v>
      </c>
      <c r="C126" s="5" t="s">
        <v>611</v>
      </c>
      <c r="D126" s="4" t="s">
        <v>612</v>
      </c>
      <c r="E126" s="5" t="s">
        <v>613</v>
      </c>
      <c r="F126" s="5" t="s">
        <v>49</v>
      </c>
      <c r="G126" s="5" t="s">
        <v>614</v>
      </c>
      <c r="H126" s="5" t="s">
        <v>278</v>
      </c>
      <c r="I126" s="5" t="s">
        <v>59</v>
      </c>
      <c r="J126" s="5" t="s">
        <v>24</v>
      </c>
      <c r="K126" s="6" t="str">
        <f t="shared" si="1"/>
        <v>081294820696</v>
      </c>
      <c r="L126" s="6" t="str">
        <f>IFERROR(
VLOOKUP(
TRIM(
IF(ISNUMBER(FIND(",",E126)),
LEFT(E126,FIND(",",E126)-1),
E126
)
),
master!A:B,
2,
FALSE
),
"Belum ada mapping"
)
</f>
        <v>Banten</v>
      </c>
      <c r="M126" s="6">
        <f>IFERROR(__xludf.DUMMYFUNCTION("IF(REGEXMATCH(I126,""Cari Kerja""),1,0)
"),0.0)</f>
        <v>0</v>
      </c>
      <c r="N126" s="6">
        <f>IFERROR(__xludf.DUMMYFUNCTION("IF(REGEXMATCH(I126,""Upskill""),1,0)
"),1.0)</f>
        <v>1</v>
      </c>
      <c r="O126" s="6">
        <f>IFERROR(__xludf.DUMMYFUNCTION("IF(REGEXMATCH(I126,""Networking""),1,0)
"),1.0)</f>
        <v>1</v>
      </c>
      <c r="P126" s="6">
        <f>IFERROR(__xludf.DUMMYFUNCTION("IF(REGEXMATCH(I126,""Switch Career""),1,0)
"),0.0)</f>
        <v>0</v>
      </c>
    </row>
    <row r="127" ht="22.5" customHeight="1">
      <c r="A127" s="7">
        <v>46040.57032322917</v>
      </c>
      <c r="B127" s="8" t="s">
        <v>615</v>
      </c>
      <c r="C127" s="8" t="s">
        <v>616</v>
      </c>
      <c r="D127" s="9" t="s">
        <v>617</v>
      </c>
      <c r="E127" s="8" t="s">
        <v>74</v>
      </c>
      <c r="F127" s="8" t="s">
        <v>49</v>
      </c>
      <c r="G127" s="8" t="s">
        <v>618</v>
      </c>
      <c r="H127" s="8" t="s">
        <v>619</v>
      </c>
      <c r="I127" s="8" t="s">
        <v>59</v>
      </c>
      <c r="J127" s="8" t="s">
        <v>24</v>
      </c>
      <c r="K127" s="6" t="str">
        <f t="shared" si="1"/>
        <v>081235583932</v>
      </c>
      <c r="L127" s="6" t="str">
        <f>IFERROR(
VLOOKUP(
TRIM(
IF(ISNUMBER(FIND(",",E127)),
LEFT(E127,FIND(",",E127)-1),
E127
)
),
master!A:B,
2,
FALSE
),
"Belum ada mapping"
)
</f>
        <v>Banten</v>
      </c>
      <c r="M127" s="6">
        <f>IFERROR(__xludf.DUMMYFUNCTION("IF(REGEXMATCH(I127,""Cari Kerja""),1,0)
"),0.0)</f>
        <v>0</v>
      </c>
      <c r="N127" s="6">
        <f>IFERROR(__xludf.DUMMYFUNCTION("IF(REGEXMATCH(I127,""Upskill""),1,0)
"),1.0)</f>
        <v>1</v>
      </c>
      <c r="O127" s="6">
        <f>IFERROR(__xludf.DUMMYFUNCTION("IF(REGEXMATCH(I127,""Networking""),1,0)
"),1.0)</f>
        <v>1</v>
      </c>
      <c r="P127" s="6">
        <f>IFERROR(__xludf.DUMMYFUNCTION("IF(REGEXMATCH(I127,""Switch Career""),1,0)
"),0.0)</f>
        <v>0</v>
      </c>
    </row>
    <row r="128" ht="22.5" customHeight="1">
      <c r="A128" s="7">
        <v>46040.36064304398</v>
      </c>
      <c r="B128" s="8" t="s">
        <v>620</v>
      </c>
      <c r="C128" s="8" t="s">
        <v>621</v>
      </c>
      <c r="D128" s="9" t="s">
        <v>622</v>
      </c>
      <c r="E128" s="8" t="s">
        <v>207</v>
      </c>
      <c r="F128" s="8" t="s">
        <v>49</v>
      </c>
      <c r="G128" s="8" t="s">
        <v>623</v>
      </c>
      <c r="H128" s="8" t="s">
        <v>624</v>
      </c>
      <c r="I128" s="8" t="s">
        <v>59</v>
      </c>
      <c r="J128" s="8" t="s">
        <v>38</v>
      </c>
      <c r="K128" s="6" t="str">
        <f t="shared" si="1"/>
        <v>081285617127</v>
      </c>
      <c r="L128" s="6" t="str">
        <f>IFERROR(
VLOOKUP(
TRIM(
IF(ISNUMBER(FIND(",",E128)),
LEFT(E128,FIND(",",E128)-1),
E128
)
),
master!A:B,
2,
FALSE
),
"Belum ada mapping"
)
</f>
        <v>Jakarta</v>
      </c>
      <c r="M128" s="6">
        <f>IFERROR(__xludf.DUMMYFUNCTION("IF(REGEXMATCH(I128,""Cari Kerja""),1,0)
"),0.0)</f>
        <v>0</v>
      </c>
      <c r="N128" s="6">
        <f>IFERROR(__xludf.DUMMYFUNCTION("IF(REGEXMATCH(I128,""Upskill""),1,0)
"),1.0)</f>
        <v>1</v>
      </c>
      <c r="O128" s="6">
        <f>IFERROR(__xludf.DUMMYFUNCTION("IF(REGEXMATCH(I128,""Networking""),1,0)
"),1.0)</f>
        <v>1</v>
      </c>
      <c r="P128" s="6">
        <f>IFERROR(__xludf.DUMMYFUNCTION("IF(REGEXMATCH(I128,""Switch Career""),1,0)
"),0.0)</f>
        <v>0</v>
      </c>
    </row>
    <row r="129" ht="22.5" customHeight="1">
      <c r="A129" s="7">
        <v>46039.84882672454</v>
      </c>
      <c r="B129" s="8" t="s">
        <v>625</v>
      </c>
      <c r="C129" s="8" t="s">
        <v>626</v>
      </c>
      <c r="D129" s="9" t="s">
        <v>627</v>
      </c>
      <c r="E129" s="8" t="s">
        <v>48</v>
      </c>
      <c r="F129" s="8" t="s">
        <v>49</v>
      </c>
      <c r="G129" s="8" t="s">
        <v>628</v>
      </c>
      <c r="H129" s="8" t="s">
        <v>51</v>
      </c>
      <c r="I129" s="8" t="s">
        <v>13</v>
      </c>
      <c r="J129" s="8" t="s">
        <v>24</v>
      </c>
      <c r="K129" s="6" t="str">
        <f t="shared" si="1"/>
        <v>087838620218</v>
      </c>
      <c r="L129" s="6" t="str">
        <f>IFERROR(
VLOOKUP(
TRIM(
IF(ISNUMBER(FIND(",",E129)),
LEFT(E129,FIND(",",E129)-1),
E129
)
),
master!A:B,
2,
FALSE
),
"Belum ada mapping"
)
</f>
        <v>DI Yogyakarta</v>
      </c>
      <c r="M129" s="6">
        <f>IFERROR(__xludf.DUMMYFUNCTION("IF(REGEXMATCH(I129,""Cari Kerja""),1,0)
"),0.0)</f>
        <v>0</v>
      </c>
      <c r="N129" s="6">
        <f>IFERROR(__xludf.DUMMYFUNCTION("IF(REGEXMATCH(I129,""Upskill""),1,0)
"),1.0)</f>
        <v>1</v>
      </c>
      <c r="O129" s="6">
        <f>IFERROR(__xludf.DUMMYFUNCTION("IF(REGEXMATCH(I129,""Networking""),1,0)
"),0.0)</f>
        <v>0</v>
      </c>
      <c r="P129" s="6">
        <f>IFERROR(__xludf.DUMMYFUNCTION("IF(REGEXMATCH(I129,""Switch Career""),1,0)
"),0.0)</f>
        <v>0</v>
      </c>
    </row>
    <row r="130" ht="22.5" customHeight="1">
      <c r="A130" s="3">
        <v>46042.29512797453</v>
      </c>
      <c r="B130" s="5" t="s">
        <v>629</v>
      </c>
      <c r="C130" s="5" t="s">
        <v>630</v>
      </c>
      <c r="D130" s="4" t="s">
        <v>631</v>
      </c>
      <c r="E130" s="5" t="s">
        <v>632</v>
      </c>
      <c r="F130" s="5" t="s">
        <v>20</v>
      </c>
      <c r="G130" s="5" t="s">
        <v>633</v>
      </c>
      <c r="H130" s="5" t="s">
        <v>51</v>
      </c>
      <c r="I130" s="5" t="s">
        <v>453</v>
      </c>
      <c r="J130" s="5" t="s">
        <v>24</v>
      </c>
      <c r="K130" s="6" t="str">
        <f t="shared" si="1"/>
        <v>0881025831545</v>
      </c>
      <c r="L130" s="6" t="str">
        <f>IFERROR(
VLOOKUP(
TRIM(
IF(ISNUMBER(FIND(",",E130)),
LEFT(E130,FIND(",",E130)-1),
E130
)
),
master!A:B,
2,
FALSE
),
"Belum ada mapping"
)
</f>
        <v>Jakarta</v>
      </c>
      <c r="M130" s="6">
        <f>IFERROR(__xludf.DUMMYFUNCTION("IF(REGEXMATCH(I130,""Cari Kerja""),1,0)
"),1.0)</f>
        <v>1</v>
      </c>
      <c r="N130" s="6">
        <f>IFERROR(__xludf.DUMMYFUNCTION("IF(REGEXMATCH(I130,""Upskill""),1,0)
"),0.0)</f>
        <v>0</v>
      </c>
      <c r="O130" s="6">
        <f>IFERROR(__xludf.DUMMYFUNCTION("IF(REGEXMATCH(I130,""Networking""),1,0)
"),1.0)</f>
        <v>1</v>
      </c>
      <c r="P130" s="6">
        <f>IFERROR(__xludf.DUMMYFUNCTION("IF(REGEXMATCH(I130,""Switch Career""),1,0)
"),1.0)</f>
        <v>1</v>
      </c>
    </row>
    <row r="131" ht="22.5" customHeight="1">
      <c r="A131" s="3">
        <v>46043.40106872685</v>
      </c>
      <c r="B131" s="5" t="s">
        <v>634</v>
      </c>
      <c r="C131" s="5" t="s">
        <v>635</v>
      </c>
      <c r="D131" s="4" t="s">
        <v>636</v>
      </c>
      <c r="E131" s="5" t="s">
        <v>122</v>
      </c>
      <c r="F131" s="5" t="s">
        <v>20</v>
      </c>
      <c r="G131" s="5" t="s">
        <v>637</v>
      </c>
      <c r="H131" s="5" t="s">
        <v>187</v>
      </c>
      <c r="I131" s="5" t="s">
        <v>12</v>
      </c>
      <c r="J131" s="5" t="s">
        <v>76</v>
      </c>
      <c r="K131" s="6" t="str">
        <f t="shared" si="1"/>
        <v>085398515827</v>
      </c>
      <c r="L131" s="6" t="str">
        <f>IFERROR(
VLOOKUP(
TRIM(
IF(ISNUMBER(FIND(",",E131)),
LEFT(E131,FIND(",",E131)-1),
E131
)
),
master!A:B,
2,
FALSE
),
"Belum ada mapping"
)
</f>
        <v>Sulawesi Selatan</v>
      </c>
      <c r="M131" s="6">
        <f>IFERROR(__xludf.DUMMYFUNCTION("IF(REGEXMATCH(I131,""Cari Kerja""),1,0)
"),1.0)</f>
        <v>1</v>
      </c>
      <c r="N131" s="6">
        <f>IFERROR(__xludf.DUMMYFUNCTION("IF(REGEXMATCH(I131,""Upskill""),1,0)
"),0.0)</f>
        <v>0</v>
      </c>
      <c r="O131" s="6">
        <f>IFERROR(__xludf.DUMMYFUNCTION("IF(REGEXMATCH(I131,""Networking""),1,0)
"),0.0)</f>
        <v>0</v>
      </c>
      <c r="P131" s="6">
        <f>IFERROR(__xludf.DUMMYFUNCTION("IF(REGEXMATCH(I131,""Switch Career""),1,0)
"),0.0)</f>
        <v>0</v>
      </c>
    </row>
    <row r="132" ht="22.5" customHeight="1">
      <c r="A132" s="3">
        <v>46043.68203332176</v>
      </c>
      <c r="B132" s="5" t="s">
        <v>638</v>
      </c>
      <c r="C132" s="5" t="s">
        <v>639</v>
      </c>
      <c r="D132" s="4" t="s">
        <v>640</v>
      </c>
      <c r="E132" s="5" t="s">
        <v>48</v>
      </c>
      <c r="F132" s="5" t="s">
        <v>20</v>
      </c>
      <c r="G132" s="5" t="s">
        <v>641</v>
      </c>
      <c r="H132" s="5" t="s">
        <v>51</v>
      </c>
      <c r="I132" s="5" t="s">
        <v>23</v>
      </c>
      <c r="J132" s="5" t="s">
        <v>24</v>
      </c>
      <c r="K132" s="6" t="str">
        <f t="shared" si="1"/>
        <v>083145062631</v>
      </c>
      <c r="L132" s="6" t="str">
        <f>IFERROR(
VLOOKUP(
TRIM(
IF(ISNUMBER(FIND(",",E132)),
LEFT(E132,FIND(",",E132)-1),
E132
)
),
master!A:B,
2,
FALSE
),
"Belum ada mapping"
)
</f>
        <v>DI Yogyakarta</v>
      </c>
      <c r="M132" s="6">
        <f>IFERROR(__xludf.DUMMYFUNCTION("IF(REGEXMATCH(I132,""Cari Kerja""),1,0)
"),1.0)</f>
        <v>1</v>
      </c>
      <c r="N132" s="6">
        <f>IFERROR(__xludf.DUMMYFUNCTION("IF(REGEXMATCH(I132,""Upskill""),1,0)
"),1.0)</f>
        <v>1</v>
      </c>
      <c r="O132" s="6">
        <f>IFERROR(__xludf.DUMMYFUNCTION("IF(REGEXMATCH(I132,""Networking""),1,0)
"),1.0)</f>
        <v>1</v>
      </c>
      <c r="P132" s="6">
        <f>IFERROR(__xludf.DUMMYFUNCTION("IF(REGEXMATCH(I132,""Switch Career""),1,0)
"),0.0)</f>
        <v>0</v>
      </c>
    </row>
    <row r="133" ht="22.5" customHeight="1">
      <c r="A133" s="7">
        <v>46040.35158170139</v>
      </c>
      <c r="B133" s="8" t="s">
        <v>642</v>
      </c>
      <c r="C133" s="8" t="s">
        <v>643</v>
      </c>
      <c r="D133" s="9" t="s">
        <v>644</v>
      </c>
      <c r="E133" s="8" t="s">
        <v>42</v>
      </c>
      <c r="F133" s="8" t="s">
        <v>20</v>
      </c>
      <c r="G133" s="8" t="s">
        <v>645</v>
      </c>
      <c r="H133" s="8" t="s">
        <v>51</v>
      </c>
      <c r="I133" s="8" t="s">
        <v>130</v>
      </c>
      <c r="J133" s="8" t="s">
        <v>24</v>
      </c>
      <c r="K133" s="6" t="str">
        <f t="shared" si="1"/>
        <v>089515204969</v>
      </c>
      <c r="L133" s="6" t="str">
        <f>IFERROR(
VLOOKUP(
TRIM(
IF(ISNUMBER(FIND(",",E133)),
LEFT(E133,FIND(",",E133)-1),
E133
)
),
master!A:B,
2,
FALSE
),
"Belum ada mapping"
)
</f>
        <v>Jawa Barat</v>
      </c>
      <c r="M133" s="6">
        <f>IFERROR(__xludf.DUMMYFUNCTION("IF(REGEXMATCH(I133,""Cari Kerja""),1,0)
"),1.0)</f>
        <v>1</v>
      </c>
      <c r="N133" s="6">
        <f>IFERROR(__xludf.DUMMYFUNCTION("IF(REGEXMATCH(I133,""Upskill""),1,0)
"),1.0)</f>
        <v>1</v>
      </c>
      <c r="O133" s="6">
        <f>IFERROR(__xludf.DUMMYFUNCTION("IF(REGEXMATCH(I133,""Networking""),1,0)
"),0.0)</f>
        <v>0</v>
      </c>
      <c r="P133" s="6">
        <f>IFERROR(__xludf.DUMMYFUNCTION("IF(REGEXMATCH(I133,""Switch Career""),1,0)
"),0.0)</f>
        <v>0</v>
      </c>
    </row>
    <row r="134" ht="22.5" customHeight="1">
      <c r="A134" s="3">
        <v>46121.771212569445</v>
      </c>
      <c r="B134" s="5" t="s">
        <v>642</v>
      </c>
      <c r="C134" s="5" t="s">
        <v>643</v>
      </c>
      <c r="D134" s="4" t="s">
        <v>644</v>
      </c>
      <c r="E134" s="5" t="s">
        <v>551</v>
      </c>
      <c r="F134" s="5" t="s">
        <v>20</v>
      </c>
      <c r="G134" s="5" t="s">
        <v>605</v>
      </c>
      <c r="H134" s="5" t="s">
        <v>225</v>
      </c>
      <c r="I134" s="5" t="s">
        <v>23</v>
      </c>
      <c r="J134" s="5" t="s">
        <v>24</v>
      </c>
      <c r="K134" s="10" t="str">
        <f t="shared" si="1"/>
        <v>089515204969</v>
      </c>
      <c r="L134" s="10" t="str">
        <f>IFERROR(
VLOOKUP(
TRIM(
IF(ISNUMBER(FIND(",",E134)),
LEFT(E134,FIND(",",E134)-1),
E134
)
),
master!A:B,
2,
FALSE
),
"Belum ada mapping"
)
</f>
        <v>Jawa Barat</v>
      </c>
      <c r="M134" s="10">
        <f>IFERROR(__xludf.DUMMYFUNCTION("IF(REGEXMATCH(I134,""Cari Kerja""),1,0)
"),1.0)</f>
        <v>1</v>
      </c>
      <c r="N134" s="10">
        <f>IFERROR(__xludf.DUMMYFUNCTION("IF(REGEXMATCH(I134,""Upskill""),1,0)
"),1.0)</f>
        <v>1</v>
      </c>
      <c r="O134" s="10">
        <f>IFERROR(__xludf.DUMMYFUNCTION("IF(REGEXMATCH(I134,""Networking""),1,0)
"),1.0)</f>
        <v>1</v>
      </c>
      <c r="P134" s="10">
        <f>IFERROR(__xludf.DUMMYFUNCTION("IF(REGEXMATCH(I134,""Switch Career""),1,0)
"),0.0)</f>
        <v>0</v>
      </c>
    </row>
    <row r="135" ht="22.5" customHeight="1">
      <c r="A135" s="3">
        <v>46042.301550868055</v>
      </c>
      <c r="B135" s="5" t="s">
        <v>646</v>
      </c>
      <c r="C135" s="5" t="s">
        <v>647</v>
      </c>
      <c r="D135" s="4" t="s">
        <v>648</v>
      </c>
      <c r="E135" s="5" t="s">
        <v>649</v>
      </c>
      <c r="F135" s="5" t="s">
        <v>49</v>
      </c>
      <c r="G135" s="5" t="s">
        <v>650</v>
      </c>
      <c r="H135" s="5" t="s">
        <v>651</v>
      </c>
      <c r="I135" s="5" t="s">
        <v>59</v>
      </c>
      <c r="J135" s="5" t="s">
        <v>24</v>
      </c>
      <c r="K135" s="6" t="str">
        <f t="shared" si="1"/>
        <v>081339511399</v>
      </c>
      <c r="L135" s="6" t="str">
        <f>IFERROR(
VLOOKUP(
TRIM(
IF(ISNUMBER(FIND(",",E135)),
LEFT(E135,FIND(",",E135)-1),
E135
)
),
master!A:B,
2,
FALSE
),
"Belum ada mapping"
)
</f>
        <v>Jawa Timur</v>
      </c>
      <c r="M135" s="6">
        <f>IFERROR(__xludf.DUMMYFUNCTION("IF(REGEXMATCH(I135,""Cari Kerja""),1,0)
"),0.0)</f>
        <v>0</v>
      </c>
      <c r="N135" s="6">
        <f>IFERROR(__xludf.DUMMYFUNCTION("IF(REGEXMATCH(I135,""Upskill""),1,0)
"),1.0)</f>
        <v>1</v>
      </c>
      <c r="O135" s="6">
        <f>IFERROR(__xludf.DUMMYFUNCTION("IF(REGEXMATCH(I135,""Networking""),1,0)
"),1.0)</f>
        <v>1</v>
      </c>
      <c r="P135" s="6">
        <f>IFERROR(__xludf.DUMMYFUNCTION("IF(REGEXMATCH(I135,""Switch Career""),1,0)
"),0.0)</f>
        <v>0</v>
      </c>
    </row>
    <row r="136" ht="22.5" customHeight="1">
      <c r="A136" s="3">
        <v>46043.26242850695</v>
      </c>
      <c r="B136" s="5" t="s">
        <v>652</v>
      </c>
      <c r="C136" s="5" t="s">
        <v>653</v>
      </c>
      <c r="D136" s="4" t="s">
        <v>654</v>
      </c>
      <c r="E136" s="5" t="s">
        <v>655</v>
      </c>
      <c r="F136" s="5" t="s">
        <v>20</v>
      </c>
      <c r="G136" s="5" t="s">
        <v>656</v>
      </c>
      <c r="H136" s="5" t="s">
        <v>582</v>
      </c>
      <c r="I136" s="5" t="s">
        <v>154</v>
      </c>
      <c r="J136" s="5" t="s">
        <v>24</v>
      </c>
      <c r="K136" s="6" t="str">
        <f t="shared" si="1"/>
        <v>081215614004</v>
      </c>
      <c r="L136" s="6" t="str">
        <f>IFERROR(
VLOOKUP(
TRIM(
IF(ISNUMBER(FIND(",",E136)),
LEFT(E136,FIND(",",E136)-1),
E136
)
),
master!A:B,
2,
FALSE
),
"Belum ada mapping"
)
</f>
        <v>Jawa Tengah</v>
      </c>
      <c r="M136" s="6">
        <f>IFERROR(__xludf.DUMMYFUNCTION("IF(REGEXMATCH(I136,""Cari Kerja""),1,0)
"),0.0)</f>
        <v>0</v>
      </c>
      <c r="N136" s="6">
        <f>IFERROR(__xludf.DUMMYFUNCTION("IF(REGEXMATCH(I136,""Upskill""),1,0)
"),1.0)</f>
        <v>1</v>
      </c>
      <c r="O136" s="6">
        <f>IFERROR(__xludf.DUMMYFUNCTION("IF(REGEXMATCH(I136,""Networking""),1,0)
"),0.0)</f>
        <v>0</v>
      </c>
      <c r="P136" s="6">
        <f>IFERROR(__xludf.DUMMYFUNCTION("IF(REGEXMATCH(I136,""Switch Career""),1,0)
"),1.0)</f>
        <v>1</v>
      </c>
    </row>
    <row r="137" ht="22.5" customHeight="1">
      <c r="A137" s="3">
        <v>46071.76574820602</v>
      </c>
      <c r="B137" s="5" t="s">
        <v>657</v>
      </c>
      <c r="C137" s="5" t="s">
        <v>658</v>
      </c>
      <c r="D137" s="4" t="s">
        <v>659</v>
      </c>
      <c r="E137" s="5" t="s">
        <v>92</v>
      </c>
      <c r="F137" s="5" t="s">
        <v>20</v>
      </c>
      <c r="G137" s="5" t="s">
        <v>660</v>
      </c>
      <c r="H137" s="5" t="s">
        <v>209</v>
      </c>
      <c r="I137" s="5" t="s">
        <v>23</v>
      </c>
      <c r="J137" s="5" t="s">
        <v>38</v>
      </c>
      <c r="K137" s="10" t="str">
        <f t="shared" si="1"/>
        <v>081283340361</v>
      </c>
      <c r="L137" s="10" t="str">
        <f>IFERROR(
VLOOKUP(
TRIM(
IF(ISNUMBER(FIND(",",E137)),
LEFT(E137,FIND(",",E137)-1),
E137
)
),
master!A:B,
2,
FALSE
),
"Belum ada mapping"
)
</f>
        <v>Jawa Barat</v>
      </c>
      <c r="M137" s="10">
        <f>IFERROR(__xludf.DUMMYFUNCTION("IF(REGEXMATCH(I137,""Cari Kerja""),1,0)
"),1.0)</f>
        <v>1</v>
      </c>
      <c r="N137" s="10">
        <f>IFERROR(__xludf.DUMMYFUNCTION("IF(REGEXMATCH(I137,""Upskill""),1,0)
"),1.0)</f>
        <v>1</v>
      </c>
      <c r="O137" s="10">
        <f>IFERROR(__xludf.DUMMYFUNCTION("IF(REGEXMATCH(I137,""Networking""),1,0)
"),1.0)</f>
        <v>1</v>
      </c>
      <c r="P137" s="10">
        <f>IFERROR(__xludf.DUMMYFUNCTION("IF(REGEXMATCH(I137,""Switch Career""),1,0)
"),0.0)</f>
        <v>0</v>
      </c>
    </row>
    <row r="138" ht="22.5" customHeight="1">
      <c r="A138" s="3">
        <v>46045.93974667824</v>
      </c>
      <c r="B138" s="5" t="s">
        <v>661</v>
      </c>
      <c r="C138" s="5" t="s">
        <v>662</v>
      </c>
      <c r="D138" s="4" t="s">
        <v>663</v>
      </c>
      <c r="E138" s="5" t="s">
        <v>484</v>
      </c>
      <c r="F138" s="5" t="s">
        <v>20</v>
      </c>
      <c r="G138" s="5" t="s">
        <v>69</v>
      </c>
      <c r="H138" s="5" t="s">
        <v>51</v>
      </c>
      <c r="I138" s="5" t="s">
        <v>31</v>
      </c>
      <c r="J138" s="5" t="s">
        <v>24</v>
      </c>
      <c r="K138" s="6" t="str">
        <f t="shared" si="1"/>
        <v>0895415073669</v>
      </c>
      <c r="L138" s="6" t="str">
        <f>IFERROR(
VLOOKUP(
TRIM(
IF(ISNUMBER(FIND(",",E138)),
LEFT(E138,FIND(",",E138)-1),
E138
)
),
master!A:B,
2,
FALSE
),
"Belum ada mapping"
)
</f>
        <v>Jawa Tengah</v>
      </c>
      <c r="M138" s="6">
        <f>IFERROR(__xludf.DUMMYFUNCTION("IF(REGEXMATCH(I138,""Cari Kerja""),1,0)
"),1.0)</f>
        <v>1</v>
      </c>
      <c r="N138" s="6">
        <f>IFERROR(__xludf.DUMMYFUNCTION("IF(REGEXMATCH(I138,""Upskill""),1,0)
"),1.0)</f>
        <v>1</v>
      </c>
      <c r="O138" s="6">
        <f>IFERROR(__xludf.DUMMYFUNCTION("IF(REGEXMATCH(I138,""Networking""),1,0)
"),1.0)</f>
        <v>1</v>
      </c>
      <c r="P138" s="6">
        <f>IFERROR(__xludf.DUMMYFUNCTION("IF(REGEXMATCH(I138,""Switch Career""),1,0)
"),1.0)</f>
        <v>1</v>
      </c>
    </row>
    <row r="139" ht="22.5" customHeight="1">
      <c r="A139" s="3">
        <v>46046.31642340278</v>
      </c>
      <c r="B139" s="5" t="s">
        <v>661</v>
      </c>
      <c r="C139" s="5" t="s">
        <v>662</v>
      </c>
      <c r="D139" s="4" t="s">
        <v>663</v>
      </c>
      <c r="E139" s="5" t="s">
        <v>484</v>
      </c>
      <c r="F139" s="5" t="s">
        <v>20</v>
      </c>
      <c r="G139" s="5" t="s">
        <v>69</v>
      </c>
      <c r="H139" s="5" t="s">
        <v>439</v>
      </c>
      <c r="I139" s="5" t="s">
        <v>23</v>
      </c>
      <c r="J139" s="5" t="s">
        <v>24</v>
      </c>
      <c r="K139" s="6" t="str">
        <f t="shared" si="1"/>
        <v>0895415073669</v>
      </c>
      <c r="L139" s="6" t="str">
        <f>IFERROR(
VLOOKUP(
TRIM(
IF(ISNUMBER(FIND(",",E139)),
LEFT(E139,FIND(",",E139)-1),
E139
)
),
master!A:B,
2,
FALSE
),
"Belum ada mapping"
)
</f>
        <v>Jawa Tengah</v>
      </c>
      <c r="M139" s="6">
        <f>IFERROR(__xludf.DUMMYFUNCTION("IF(REGEXMATCH(I139,""Cari Kerja""),1,0)
"),1.0)</f>
        <v>1</v>
      </c>
      <c r="N139" s="6">
        <f>IFERROR(__xludf.DUMMYFUNCTION("IF(REGEXMATCH(I139,""Upskill""),1,0)
"),1.0)</f>
        <v>1</v>
      </c>
      <c r="O139" s="6">
        <f>IFERROR(__xludf.DUMMYFUNCTION("IF(REGEXMATCH(I139,""Networking""),1,0)
"),1.0)</f>
        <v>1</v>
      </c>
      <c r="P139" s="6">
        <f>IFERROR(__xludf.DUMMYFUNCTION("IF(REGEXMATCH(I139,""Switch Career""),1,0)
"),0.0)</f>
        <v>0</v>
      </c>
    </row>
    <row r="140" ht="22.5" customHeight="1">
      <c r="A140" s="3">
        <v>46043.52497481482</v>
      </c>
      <c r="B140" s="5" t="s">
        <v>664</v>
      </c>
      <c r="C140" s="5" t="s">
        <v>665</v>
      </c>
      <c r="D140" s="4" t="s">
        <v>666</v>
      </c>
      <c r="E140" s="5" t="s">
        <v>207</v>
      </c>
      <c r="F140" s="5" t="s">
        <v>20</v>
      </c>
      <c r="G140" s="5" t="s">
        <v>21</v>
      </c>
      <c r="H140" s="5" t="s">
        <v>463</v>
      </c>
      <c r="I140" s="5" t="s">
        <v>59</v>
      </c>
      <c r="J140" s="5" t="s">
        <v>24</v>
      </c>
      <c r="K140" s="6" t="str">
        <f t="shared" si="1"/>
        <v>082111308271</v>
      </c>
      <c r="L140" s="6" t="str">
        <f>IFERROR(
VLOOKUP(
TRIM(
IF(ISNUMBER(FIND(",",E140)),
LEFT(E140,FIND(",",E140)-1),
E140
)
),
master!A:B,
2,
FALSE
),
"Belum ada mapping"
)
</f>
        <v>Jakarta</v>
      </c>
      <c r="M140" s="6">
        <f>IFERROR(__xludf.DUMMYFUNCTION("IF(REGEXMATCH(I140,""Cari Kerja""),1,0)
"),0.0)</f>
        <v>0</v>
      </c>
      <c r="N140" s="6">
        <f>IFERROR(__xludf.DUMMYFUNCTION("IF(REGEXMATCH(I140,""Upskill""),1,0)
"),1.0)</f>
        <v>1</v>
      </c>
      <c r="O140" s="6">
        <f>IFERROR(__xludf.DUMMYFUNCTION("IF(REGEXMATCH(I140,""Networking""),1,0)
"),1.0)</f>
        <v>1</v>
      </c>
      <c r="P140" s="6">
        <f>IFERROR(__xludf.DUMMYFUNCTION("IF(REGEXMATCH(I140,""Switch Career""),1,0)
"),0.0)</f>
        <v>0</v>
      </c>
    </row>
    <row r="141" ht="22.5" customHeight="1">
      <c r="A141" s="3">
        <v>46134.844408206016</v>
      </c>
      <c r="B141" s="5" t="s">
        <v>667</v>
      </c>
      <c r="C141" s="5" t="s">
        <v>668</v>
      </c>
      <c r="D141" s="4" t="s">
        <v>669</v>
      </c>
      <c r="E141" s="5" t="s">
        <v>670</v>
      </c>
      <c r="F141" s="5" t="s">
        <v>49</v>
      </c>
      <c r="G141" s="5" t="s">
        <v>671</v>
      </c>
      <c r="H141" s="5" t="s">
        <v>577</v>
      </c>
      <c r="I141" s="5" t="s">
        <v>31</v>
      </c>
      <c r="J141" s="5" t="s">
        <v>38</v>
      </c>
      <c r="K141" s="10" t="str">
        <f t="shared" si="1"/>
        <v>082125508067</v>
      </c>
      <c r="L141" s="10" t="str">
        <f>IFERROR(
VLOOKUP(
TRIM(
IF(ISNUMBER(FIND(",",E141)),
LEFT(E141,FIND(",",E141)-1),
E141
)
),
master!A:B,
2,
FALSE
),
"Belum ada mapping"
)
</f>
        <v>Belum ada mapping</v>
      </c>
      <c r="M141" s="10">
        <f>IFERROR(__xludf.DUMMYFUNCTION("IF(REGEXMATCH(I141,""Cari Kerja""),1,0)
"),1.0)</f>
        <v>1</v>
      </c>
      <c r="N141" s="10">
        <f>IFERROR(__xludf.DUMMYFUNCTION("IF(REGEXMATCH(I141,""Upskill""),1,0)
"),1.0)</f>
        <v>1</v>
      </c>
      <c r="O141" s="10">
        <f>IFERROR(__xludf.DUMMYFUNCTION("IF(REGEXMATCH(I141,""Networking""),1,0)
"),1.0)</f>
        <v>1</v>
      </c>
      <c r="P141" s="10">
        <f>IFERROR(__xludf.DUMMYFUNCTION("IF(REGEXMATCH(I141,""Switch Career""),1,0)
"),1.0)</f>
        <v>1</v>
      </c>
    </row>
    <row r="142" ht="22.5" customHeight="1">
      <c r="A142" s="3">
        <v>46065.65296054399</v>
      </c>
      <c r="B142" s="5" t="s">
        <v>672</v>
      </c>
      <c r="C142" s="5" t="s">
        <v>673</v>
      </c>
      <c r="D142" s="4" t="s">
        <v>674</v>
      </c>
      <c r="E142" s="5" t="s">
        <v>675</v>
      </c>
      <c r="F142" s="5" t="s">
        <v>20</v>
      </c>
      <c r="G142" s="5" t="s">
        <v>676</v>
      </c>
      <c r="H142" s="5" t="s">
        <v>51</v>
      </c>
      <c r="I142" s="5" t="s">
        <v>31</v>
      </c>
      <c r="J142" s="5" t="s">
        <v>38</v>
      </c>
      <c r="K142" s="10" t="str">
        <f t="shared" si="1"/>
        <v>081393955073</v>
      </c>
      <c r="L142" s="10" t="str">
        <f>IFERROR(
VLOOKUP(
TRIM(
IF(ISNUMBER(FIND(",",E142)),
LEFT(E142,FIND(",",E142)-1),
E142
)
),
master!A:B,
2,
FALSE
),
"Belum ada mapping"
)
</f>
        <v>Jawa Tengah</v>
      </c>
      <c r="M142" s="10">
        <f>IFERROR(__xludf.DUMMYFUNCTION("IF(REGEXMATCH(I142,""Cari Kerja""),1,0)
"),1.0)</f>
        <v>1</v>
      </c>
      <c r="N142" s="10">
        <f>IFERROR(__xludf.DUMMYFUNCTION("IF(REGEXMATCH(I142,""Upskill""),1,0)
"),1.0)</f>
        <v>1</v>
      </c>
      <c r="O142" s="10">
        <f>IFERROR(__xludf.DUMMYFUNCTION("IF(REGEXMATCH(I142,""Networking""),1,0)
"),1.0)</f>
        <v>1</v>
      </c>
      <c r="P142" s="10">
        <f>IFERROR(__xludf.DUMMYFUNCTION("IF(REGEXMATCH(I142,""Switch Career""),1,0)
"),1.0)</f>
        <v>1</v>
      </c>
    </row>
    <row r="143" ht="22.5" customHeight="1">
      <c r="A143" s="7">
        <v>46040.34915149305</v>
      </c>
      <c r="B143" s="8" t="s">
        <v>677</v>
      </c>
      <c r="C143" s="8" t="s">
        <v>678</v>
      </c>
      <c r="D143" s="9" t="s">
        <v>679</v>
      </c>
      <c r="E143" s="8" t="s">
        <v>680</v>
      </c>
      <c r="F143" s="8" t="s">
        <v>49</v>
      </c>
      <c r="G143" s="8" t="s">
        <v>681</v>
      </c>
      <c r="H143" s="8" t="s">
        <v>160</v>
      </c>
      <c r="I143" s="8" t="s">
        <v>31</v>
      </c>
      <c r="J143" s="8" t="s">
        <v>24</v>
      </c>
      <c r="K143" s="6" t="str">
        <f t="shared" si="1"/>
        <v>085648603159</v>
      </c>
      <c r="L143" s="6" t="str">
        <f>IFERROR(
VLOOKUP(
TRIM(
IF(ISNUMBER(FIND(",",E143)),
LEFT(E143,FIND(",",E143)-1),
E143
)
),
master!A:B,
2,
FALSE
),
"Belum ada mapping"
)
</f>
        <v>Jawa Barat</v>
      </c>
      <c r="M143" s="6">
        <f>IFERROR(__xludf.DUMMYFUNCTION("IF(REGEXMATCH(I143,""Cari Kerja""),1,0)
"),1.0)</f>
        <v>1</v>
      </c>
      <c r="N143" s="6">
        <f>IFERROR(__xludf.DUMMYFUNCTION("IF(REGEXMATCH(I143,""Upskill""),1,0)
"),1.0)</f>
        <v>1</v>
      </c>
      <c r="O143" s="6">
        <f>IFERROR(__xludf.DUMMYFUNCTION("IF(REGEXMATCH(I143,""Networking""),1,0)
"),1.0)</f>
        <v>1</v>
      </c>
      <c r="P143" s="6">
        <f>IFERROR(__xludf.DUMMYFUNCTION("IF(REGEXMATCH(I143,""Switch Career""),1,0)
"),1.0)</f>
        <v>1</v>
      </c>
    </row>
    <row r="144" ht="22.5" customHeight="1">
      <c r="A144" s="7">
        <v>46040.35943736111</v>
      </c>
      <c r="B144" s="8" t="s">
        <v>682</v>
      </c>
      <c r="C144" s="8" t="s">
        <v>683</v>
      </c>
      <c r="D144" s="9" t="s">
        <v>684</v>
      </c>
      <c r="E144" s="8" t="s">
        <v>249</v>
      </c>
      <c r="F144" s="8" t="s">
        <v>20</v>
      </c>
      <c r="G144" s="8" t="s">
        <v>685</v>
      </c>
      <c r="H144" s="8" t="s">
        <v>176</v>
      </c>
      <c r="I144" s="8" t="s">
        <v>23</v>
      </c>
      <c r="J144" s="8" t="s">
        <v>24</v>
      </c>
      <c r="K144" s="6" t="str">
        <f t="shared" si="1"/>
        <v>085357595607</v>
      </c>
      <c r="L144" s="6" t="str">
        <f>IFERROR(
VLOOKUP(
TRIM(
IF(ISNUMBER(FIND(",",E144)),
LEFT(E144,FIND(",",E144)-1),
E144
)
),
master!A:B,
2,
FALSE
),
"Belum ada mapping"
)
</f>
        <v>Jambi</v>
      </c>
      <c r="M144" s="6">
        <f>IFERROR(__xludf.DUMMYFUNCTION("IF(REGEXMATCH(I144,""Cari Kerja""),1,0)
"),1.0)</f>
        <v>1</v>
      </c>
      <c r="N144" s="6">
        <f>IFERROR(__xludf.DUMMYFUNCTION("IF(REGEXMATCH(I144,""Upskill""),1,0)
"),1.0)</f>
        <v>1</v>
      </c>
      <c r="O144" s="6">
        <f>IFERROR(__xludf.DUMMYFUNCTION("IF(REGEXMATCH(I144,""Networking""),1,0)
"),1.0)</f>
        <v>1</v>
      </c>
      <c r="P144" s="6">
        <f>IFERROR(__xludf.DUMMYFUNCTION("IF(REGEXMATCH(I144,""Switch Career""),1,0)
"),0.0)</f>
        <v>0</v>
      </c>
    </row>
    <row r="145" ht="22.5" customHeight="1">
      <c r="A145" s="3">
        <v>46042.428145694445</v>
      </c>
      <c r="B145" s="5" t="s">
        <v>686</v>
      </c>
      <c r="C145" s="5" t="s">
        <v>687</v>
      </c>
      <c r="D145" s="4" t="s">
        <v>688</v>
      </c>
      <c r="E145" s="5" t="s">
        <v>97</v>
      </c>
      <c r="F145" s="5" t="s">
        <v>20</v>
      </c>
      <c r="G145" s="5" t="s">
        <v>21</v>
      </c>
      <c r="H145" s="5" t="s">
        <v>51</v>
      </c>
      <c r="I145" s="5" t="s">
        <v>23</v>
      </c>
      <c r="J145" s="5" t="s">
        <v>24</v>
      </c>
      <c r="K145" s="6" t="str">
        <f t="shared" si="1"/>
        <v>082266575830</v>
      </c>
      <c r="L145" s="6" t="str">
        <f>IFERROR(
VLOOKUP(
TRIM(
IF(ISNUMBER(FIND(",",E145)),
LEFT(E145,FIND(",",E145)-1),
E145
)
),
master!A:B,
2,
FALSE
),
"Belum ada mapping"
)
</f>
        <v>Jakarta</v>
      </c>
      <c r="M145" s="6">
        <f>IFERROR(__xludf.DUMMYFUNCTION("IF(REGEXMATCH(I145,""Cari Kerja""),1,0)
"),1.0)</f>
        <v>1</v>
      </c>
      <c r="N145" s="6">
        <f>IFERROR(__xludf.DUMMYFUNCTION("IF(REGEXMATCH(I145,""Upskill""),1,0)
"),1.0)</f>
        <v>1</v>
      </c>
      <c r="O145" s="6">
        <f>IFERROR(__xludf.DUMMYFUNCTION("IF(REGEXMATCH(I145,""Networking""),1,0)
"),1.0)</f>
        <v>1</v>
      </c>
      <c r="P145" s="6">
        <f>IFERROR(__xludf.DUMMYFUNCTION("IF(REGEXMATCH(I145,""Switch Career""),1,0)
"),0.0)</f>
        <v>0</v>
      </c>
    </row>
    <row r="146" ht="22.5" customHeight="1">
      <c r="A146" s="3">
        <v>46045.658841296296</v>
      </c>
      <c r="B146" s="5" t="s">
        <v>689</v>
      </c>
      <c r="C146" s="5" t="s">
        <v>690</v>
      </c>
      <c r="D146" s="4" t="s">
        <v>691</v>
      </c>
      <c r="E146" s="5" t="s">
        <v>571</v>
      </c>
      <c r="F146" s="5" t="s">
        <v>20</v>
      </c>
      <c r="G146" s="5" t="s">
        <v>21</v>
      </c>
      <c r="H146" s="5" t="s">
        <v>692</v>
      </c>
      <c r="I146" s="5" t="s">
        <v>23</v>
      </c>
      <c r="J146" s="5" t="s">
        <v>24</v>
      </c>
      <c r="K146" s="6" t="str">
        <f t="shared" si="1"/>
        <v>083815428703</v>
      </c>
      <c r="L146" s="6" t="str">
        <f>IFERROR(
VLOOKUP(
TRIM(
IF(ISNUMBER(FIND(",",E146)),
LEFT(E146,FIND(",",E146)-1),
E146
)
),
master!A:B,
2,
FALSE
),
"Belum ada mapping"
)
</f>
        <v>Jawa Barat</v>
      </c>
      <c r="M146" s="6">
        <f>IFERROR(__xludf.DUMMYFUNCTION("IF(REGEXMATCH(I146,""Cari Kerja""),1,0)
"),1.0)</f>
        <v>1</v>
      </c>
      <c r="N146" s="6">
        <f>IFERROR(__xludf.DUMMYFUNCTION("IF(REGEXMATCH(I146,""Upskill""),1,0)
"),1.0)</f>
        <v>1</v>
      </c>
      <c r="O146" s="6">
        <f>IFERROR(__xludf.DUMMYFUNCTION("IF(REGEXMATCH(I146,""Networking""),1,0)
"),1.0)</f>
        <v>1</v>
      </c>
      <c r="P146" s="6">
        <f>IFERROR(__xludf.DUMMYFUNCTION("IF(REGEXMATCH(I146,""Switch Career""),1,0)
"),0.0)</f>
        <v>0</v>
      </c>
    </row>
    <row r="147" ht="22.5" customHeight="1">
      <c r="A147" s="3">
        <v>46044.97643148148</v>
      </c>
      <c r="B147" s="5" t="s">
        <v>693</v>
      </c>
      <c r="C147" s="5" t="s">
        <v>694</v>
      </c>
      <c r="D147" s="4" t="s">
        <v>695</v>
      </c>
      <c r="E147" s="5" t="s">
        <v>551</v>
      </c>
      <c r="F147" s="5" t="s">
        <v>20</v>
      </c>
      <c r="G147" s="5" t="s">
        <v>69</v>
      </c>
      <c r="H147" s="5" t="s">
        <v>51</v>
      </c>
      <c r="I147" s="5" t="s">
        <v>31</v>
      </c>
      <c r="J147" s="5" t="s">
        <v>24</v>
      </c>
      <c r="K147" s="6" t="str">
        <f t="shared" si="1"/>
        <v>081311186214</v>
      </c>
      <c r="L147" s="6" t="str">
        <f>IFERROR(
VLOOKUP(
TRIM(
IF(ISNUMBER(FIND(",",E147)),
LEFT(E147,FIND(",",E147)-1),
E147
)
),
master!A:B,
2,
FALSE
),
"Belum ada mapping"
)
</f>
        <v>Jawa Barat</v>
      </c>
      <c r="M147" s="6">
        <f>IFERROR(__xludf.DUMMYFUNCTION("IF(REGEXMATCH(I147,""Cari Kerja""),1,0)
"),1.0)</f>
        <v>1</v>
      </c>
      <c r="N147" s="6">
        <f>IFERROR(__xludf.DUMMYFUNCTION("IF(REGEXMATCH(I147,""Upskill""),1,0)
"),1.0)</f>
        <v>1</v>
      </c>
      <c r="O147" s="6">
        <f>IFERROR(__xludf.DUMMYFUNCTION("IF(REGEXMATCH(I147,""Networking""),1,0)
"),1.0)</f>
        <v>1</v>
      </c>
      <c r="P147" s="6">
        <f>IFERROR(__xludf.DUMMYFUNCTION("IF(REGEXMATCH(I147,""Switch Career""),1,0)
"),1.0)</f>
        <v>1</v>
      </c>
    </row>
    <row r="148" ht="22.5" customHeight="1">
      <c r="A148" s="7">
        <v>46040.43228260417</v>
      </c>
      <c r="B148" s="8" t="s">
        <v>696</v>
      </c>
      <c r="C148" s="8" t="s">
        <v>697</v>
      </c>
      <c r="D148" s="9" t="s">
        <v>698</v>
      </c>
      <c r="E148" s="8" t="s">
        <v>35</v>
      </c>
      <c r="F148" s="8" t="s">
        <v>20</v>
      </c>
      <c r="G148" s="8" t="s">
        <v>699</v>
      </c>
      <c r="H148" s="8" t="s">
        <v>209</v>
      </c>
      <c r="I148" s="8" t="s">
        <v>130</v>
      </c>
      <c r="J148" s="8" t="s">
        <v>24</v>
      </c>
      <c r="K148" s="6" t="str">
        <f t="shared" si="1"/>
        <v>085895090636</v>
      </c>
      <c r="L148" s="6" t="str">
        <f>IFERROR(
VLOOKUP(
TRIM(
IF(ISNUMBER(FIND(",",E148)),
LEFT(E148,FIND(",",E148)-1),
E148
)
),
master!A:B,
2,
FALSE
),
"Belum ada mapping"
)
</f>
        <v>Jawa Timur</v>
      </c>
      <c r="M148" s="6">
        <f>IFERROR(__xludf.DUMMYFUNCTION("IF(REGEXMATCH(I148,""Cari Kerja""),1,0)
"),1.0)</f>
        <v>1</v>
      </c>
      <c r="N148" s="6">
        <f>IFERROR(__xludf.DUMMYFUNCTION("IF(REGEXMATCH(I148,""Upskill""),1,0)
"),1.0)</f>
        <v>1</v>
      </c>
      <c r="O148" s="6">
        <f>IFERROR(__xludf.DUMMYFUNCTION("IF(REGEXMATCH(I148,""Networking""),1,0)
"),0.0)</f>
        <v>0</v>
      </c>
      <c r="P148" s="6">
        <f>IFERROR(__xludf.DUMMYFUNCTION("IF(REGEXMATCH(I148,""Switch Career""),1,0)
"),0.0)</f>
        <v>0</v>
      </c>
    </row>
    <row r="149" ht="22.5" customHeight="1">
      <c r="A149" s="7">
        <v>46040.351536319446</v>
      </c>
      <c r="B149" s="8" t="s">
        <v>700</v>
      </c>
      <c r="C149" s="8" t="s">
        <v>701</v>
      </c>
      <c r="D149" s="9" t="s">
        <v>702</v>
      </c>
      <c r="E149" s="8" t="s">
        <v>327</v>
      </c>
      <c r="F149" s="8" t="s">
        <v>49</v>
      </c>
      <c r="G149" s="8" t="s">
        <v>703</v>
      </c>
      <c r="H149" s="8" t="s">
        <v>704</v>
      </c>
      <c r="I149" s="8" t="s">
        <v>31</v>
      </c>
      <c r="J149" s="8" t="s">
        <v>24</v>
      </c>
      <c r="K149" s="6" t="str">
        <f t="shared" si="1"/>
        <v>0811399913</v>
      </c>
      <c r="L149" s="6" t="str">
        <f>IFERROR(
VLOOKUP(
TRIM(
IF(ISNUMBER(FIND(",",E149)),
LEFT(E149,FIND(",",E149)-1),
E149
)
),
master!A:B,
2,
FALSE
),
"Belum ada mapping"
)
</f>
        <v>Jakarta</v>
      </c>
      <c r="M149" s="6">
        <f>IFERROR(__xludf.DUMMYFUNCTION("IF(REGEXMATCH(I149,""Cari Kerja""),1,0)
"),1.0)</f>
        <v>1</v>
      </c>
      <c r="N149" s="6">
        <f>IFERROR(__xludf.DUMMYFUNCTION("IF(REGEXMATCH(I149,""Upskill""),1,0)
"),1.0)</f>
        <v>1</v>
      </c>
      <c r="O149" s="6">
        <f>IFERROR(__xludf.DUMMYFUNCTION("IF(REGEXMATCH(I149,""Networking""),1,0)
"),1.0)</f>
        <v>1</v>
      </c>
      <c r="P149" s="6">
        <f>IFERROR(__xludf.DUMMYFUNCTION("IF(REGEXMATCH(I149,""Switch Career""),1,0)
"),1.0)</f>
        <v>1</v>
      </c>
    </row>
    <row r="150" ht="22.5" customHeight="1">
      <c r="A150" s="3">
        <v>46042.29746194444</v>
      </c>
      <c r="B150" s="5" t="s">
        <v>705</v>
      </c>
      <c r="C150" s="5" t="s">
        <v>706</v>
      </c>
      <c r="D150" s="4" t="s">
        <v>707</v>
      </c>
      <c r="E150" s="5" t="s">
        <v>74</v>
      </c>
      <c r="F150" s="5" t="s">
        <v>20</v>
      </c>
      <c r="G150" s="5" t="s">
        <v>708</v>
      </c>
      <c r="H150" s="5" t="s">
        <v>709</v>
      </c>
      <c r="I150" s="5" t="s">
        <v>59</v>
      </c>
      <c r="J150" s="5" t="s">
        <v>24</v>
      </c>
      <c r="K150" s="6" t="str">
        <f t="shared" si="1"/>
        <v>081287666692</v>
      </c>
      <c r="L150" s="6" t="str">
        <f>IFERROR(
VLOOKUP(
TRIM(
IF(ISNUMBER(FIND(",",E150)),
LEFT(E150,FIND(",",E150)-1),
E150
)
),
master!A:B,
2,
FALSE
),
"Belum ada mapping"
)
</f>
        <v>Banten</v>
      </c>
      <c r="M150" s="6">
        <f>IFERROR(__xludf.DUMMYFUNCTION("IF(REGEXMATCH(I150,""Cari Kerja""),1,0)
"),0.0)</f>
        <v>0</v>
      </c>
      <c r="N150" s="6">
        <f>IFERROR(__xludf.DUMMYFUNCTION("IF(REGEXMATCH(I150,""Upskill""),1,0)
"),1.0)</f>
        <v>1</v>
      </c>
      <c r="O150" s="6">
        <f>IFERROR(__xludf.DUMMYFUNCTION("IF(REGEXMATCH(I150,""Networking""),1,0)
"),1.0)</f>
        <v>1</v>
      </c>
      <c r="P150" s="6">
        <f>IFERROR(__xludf.DUMMYFUNCTION("IF(REGEXMATCH(I150,""Switch Career""),1,0)
"),0.0)</f>
        <v>0</v>
      </c>
    </row>
    <row r="151" ht="22.5" customHeight="1">
      <c r="A151" s="3">
        <v>46134.69321592593</v>
      </c>
      <c r="B151" s="5" t="s">
        <v>710</v>
      </c>
      <c r="C151" s="5" t="s">
        <v>711</v>
      </c>
      <c r="D151" s="4" t="s">
        <v>712</v>
      </c>
      <c r="E151" s="5" t="s">
        <v>97</v>
      </c>
      <c r="F151" s="5" t="s">
        <v>20</v>
      </c>
      <c r="G151" s="5" t="s">
        <v>369</v>
      </c>
      <c r="H151" s="5" t="s">
        <v>51</v>
      </c>
      <c r="I151" s="5" t="s">
        <v>23</v>
      </c>
      <c r="J151" s="5" t="s">
        <v>24</v>
      </c>
      <c r="K151" s="10" t="str">
        <f t="shared" si="1"/>
        <v>081263126712</v>
      </c>
      <c r="L151" s="10" t="str">
        <f>IFERROR(
VLOOKUP(
TRIM(
IF(ISNUMBER(FIND(",",E151)),
LEFT(E151,FIND(",",E151)-1),
E151
)
),
master!A:B,
2,
FALSE
),
"Belum ada mapping"
)
</f>
        <v>Jakarta</v>
      </c>
      <c r="M151" s="10">
        <f>IFERROR(__xludf.DUMMYFUNCTION("IF(REGEXMATCH(I151,""Cari Kerja""),1,0)
"),1.0)</f>
        <v>1</v>
      </c>
      <c r="N151" s="10">
        <f>IFERROR(__xludf.DUMMYFUNCTION("IF(REGEXMATCH(I151,""Upskill""),1,0)
"),1.0)</f>
        <v>1</v>
      </c>
      <c r="O151" s="10">
        <f>IFERROR(__xludf.DUMMYFUNCTION("IF(REGEXMATCH(I151,""Networking""),1,0)
"),1.0)</f>
        <v>1</v>
      </c>
      <c r="P151" s="10">
        <f>IFERROR(__xludf.DUMMYFUNCTION("IF(REGEXMATCH(I151,""Switch Career""),1,0)
"),0.0)</f>
        <v>0</v>
      </c>
    </row>
    <row r="152" ht="22.5" customHeight="1">
      <c r="A152" s="3">
        <v>46042.339164895835</v>
      </c>
      <c r="B152" s="5" t="s">
        <v>713</v>
      </c>
      <c r="C152" s="5" t="s">
        <v>714</v>
      </c>
      <c r="D152" s="4" t="s">
        <v>715</v>
      </c>
      <c r="E152" s="5" t="s">
        <v>207</v>
      </c>
      <c r="F152" s="5" t="s">
        <v>49</v>
      </c>
      <c r="G152" s="5" t="s">
        <v>716</v>
      </c>
      <c r="H152" s="5" t="s">
        <v>245</v>
      </c>
      <c r="I152" s="5" t="s">
        <v>52</v>
      </c>
      <c r="J152" s="5" t="s">
        <v>24</v>
      </c>
      <c r="K152" s="6" t="str">
        <f t="shared" si="1"/>
        <v>085156960938</v>
      </c>
      <c r="L152" s="6" t="str">
        <f>IFERROR(
VLOOKUP(
TRIM(
IF(ISNUMBER(FIND(",",E152)),
LEFT(E152,FIND(",",E152)-1),
E152
)
),
master!A:B,
2,
FALSE
),
"Belum ada mapping"
)
</f>
        <v>Jakarta</v>
      </c>
      <c r="M152" s="6">
        <f>IFERROR(__xludf.DUMMYFUNCTION("IF(REGEXMATCH(I152,""Cari Kerja""),1,0)
"),0.0)</f>
        <v>0</v>
      </c>
      <c r="N152" s="6">
        <f>IFERROR(__xludf.DUMMYFUNCTION("IF(REGEXMATCH(I152,""Upskill""),1,0)
"),1.0)</f>
        <v>1</v>
      </c>
      <c r="O152" s="6">
        <f>IFERROR(__xludf.DUMMYFUNCTION("IF(REGEXMATCH(I152,""Networking""),1,0)
"),1.0)</f>
        <v>1</v>
      </c>
      <c r="P152" s="6">
        <f>IFERROR(__xludf.DUMMYFUNCTION("IF(REGEXMATCH(I152,""Switch Career""),1,0)
"),1.0)</f>
        <v>1</v>
      </c>
    </row>
    <row r="153" ht="22.5" customHeight="1">
      <c r="A153" s="3">
        <v>46042.716383391205</v>
      </c>
      <c r="B153" s="5" t="s">
        <v>717</v>
      </c>
      <c r="C153" s="5" t="s">
        <v>718</v>
      </c>
      <c r="D153" s="4" t="s">
        <v>719</v>
      </c>
      <c r="E153" s="5" t="s">
        <v>551</v>
      </c>
      <c r="F153" s="5" t="s">
        <v>49</v>
      </c>
      <c r="G153" s="5" t="s">
        <v>720</v>
      </c>
      <c r="H153" s="5" t="s">
        <v>51</v>
      </c>
      <c r="I153" s="5" t="s">
        <v>23</v>
      </c>
      <c r="J153" s="5" t="s">
        <v>38</v>
      </c>
      <c r="K153" s="6" t="str">
        <f t="shared" si="1"/>
        <v>081398083143</v>
      </c>
      <c r="L153" s="6" t="str">
        <f>IFERROR(
VLOOKUP(
TRIM(
IF(ISNUMBER(FIND(",",E153)),
LEFT(E153,FIND(",",E153)-1),
E153
)
),
master!A:B,
2,
FALSE
),
"Belum ada mapping"
)
</f>
        <v>Jawa Barat</v>
      </c>
      <c r="M153" s="6">
        <f>IFERROR(__xludf.DUMMYFUNCTION("IF(REGEXMATCH(I153,""Cari Kerja""),1,0)
"),1.0)</f>
        <v>1</v>
      </c>
      <c r="N153" s="6">
        <f>IFERROR(__xludf.DUMMYFUNCTION("IF(REGEXMATCH(I153,""Upskill""),1,0)
"),1.0)</f>
        <v>1</v>
      </c>
      <c r="O153" s="6">
        <f>IFERROR(__xludf.DUMMYFUNCTION("IF(REGEXMATCH(I153,""Networking""),1,0)
"),1.0)</f>
        <v>1</v>
      </c>
      <c r="P153" s="6">
        <f>IFERROR(__xludf.DUMMYFUNCTION("IF(REGEXMATCH(I153,""Switch Career""),1,0)
"),0.0)</f>
        <v>0</v>
      </c>
    </row>
    <row r="154" ht="22.5" customHeight="1">
      <c r="A154" s="3">
        <v>46097.15253402777</v>
      </c>
      <c r="B154" s="5" t="s">
        <v>721</v>
      </c>
      <c r="C154" s="5" t="s">
        <v>722</v>
      </c>
      <c r="D154" s="4" t="s">
        <v>723</v>
      </c>
      <c r="E154" s="5" t="s">
        <v>724</v>
      </c>
      <c r="F154" s="5" t="s">
        <v>20</v>
      </c>
      <c r="G154" s="5" t="s">
        <v>725</v>
      </c>
      <c r="H154" s="5" t="s">
        <v>51</v>
      </c>
      <c r="I154" s="5" t="s">
        <v>23</v>
      </c>
      <c r="J154" s="5" t="s">
        <v>38</v>
      </c>
      <c r="K154" s="10" t="str">
        <f t="shared" si="1"/>
        <v>081912174611</v>
      </c>
      <c r="L154" s="10" t="str">
        <f>IFERROR(
VLOOKUP(
TRIM(
IF(ISNUMBER(FIND(",",E154)),
LEFT(E154,FIND(",",E154)-1),
E154
)
),
master!A:B,
2,
FALSE
),
"Belum ada mapping"
)
</f>
        <v>Jawa Timur</v>
      </c>
      <c r="M154" s="10">
        <f>IFERROR(__xludf.DUMMYFUNCTION("IF(REGEXMATCH(I154,""Cari Kerja""),1,0)
"),1.0)</f>
        <v>1</v>
      </c>
      <c r="N154" s="10">
        <f>IFERROR(__xludf.DUMMYFUNCTION("IF(REGEXMATCH(I154,""Upskill""),1,0)
"),1.0)</f>
        <v>1</v>
      </c>
      <c r="O154" s="10">
        <f>IFERROR(__xludf.DUMMYFUNCTION("IF(REGEXMATCH(I154,""Networking""),1,0)
"),1.0)</f>
        <v>1</v>
      </c>
      <c r="P154" s="10">
        <f>IFERROR(__xludf.DUMMYFUNCTION("IF(REGEXMATCH(I154,""Switch Career""),1,0)
"),0.0)</f>
        <v>0</v>
      </c>
    </row>
    <row r="155" ht="22.5" customHeight="1">
      <c r="A155" s="3">
        <v>46041.520954050924</v>
      </c>
      <c r="B155" s="5" t="s">
        <v>726</v>
      </c>
      <c r="C155" s="5" t="s">
        <v>727</v>
      </c>
      <c r="D155" s="4" t="s">
        <v>728</v>
      </c>
      <c r="E155" s="5" t="s">
        <v>729</v>
      </c>
      <c r="F155" s="5" t="s">
        <v>20</v>
      </c>
      <c r="G155" s="5" t="s">
        <v>69</v>
      </c>
      <c r="H155" s="5" t="s">
        <v>176</v>
      </c>
      <c r="I155" s="5" t="s">
        <v>13</v>
      </c>
      <c r="J155" s="5" t="s">
        <v>24</v>
      </c>
      <c r="K155" s="6" t="str">
        <f t="shared" si="1"/>
        <v>085722416667</v>
      </c>
      <c r="L155" s="6" t="str">
        <f>IFERROR(
VLOOKUP(
TRIM(
IF(ISNUMBER(FIND(",",E155)),
LEFT(E155,FIND(",",E155)-1),
E155
)
),
master!A:B,
2,
FALSE
),
"Belum ada mapping"
)
</f>
        <v>Jawa Barat</v>
      </c>
      <c r="M155" s="6">
        <f>IFERROR(__xludf.DUMMYFUNCTION("IF(REGEXMATCH(I155,""Cari Kerja""),1,0)
"),0.0)</f>
        <v>0</v>
      </c>
      <c r="N155" s="6">
        <f>IFERROR(__xludf.DUMMYFUNCTION("IF(REGEXMATCH(I155,""Upskill""),1,0)
"),1.0)</f>
        <v>1</v>
      </c>
      <c r="O155" s="6">
        <f>IFERROR(__xludf.DUMMYFUNCTION("IF(REGEXMATCH(I155,""Networking""),1,0)
"),0.0)</f>
        <v>0</v>
      </c>
      <c r="P155" s="6">
        <f>IFERROR(__xludf.DUMMYFUNCTION("IF(REGEXMATCH(I155,""Switch Career""),1,0)
"),0.0)</f>
        <v>0</v>
      </c>
    </row>
    <row r="156" ht="22.5" customHeight="1">
      <c r="A156" s="3">
        <v>46049.91431107638</v>
      </c>
      <c r="B156" s="5" t="s">
        <v>730</v>
      </c>
      <c r="C156" s="5" t="s">
        <v>731</v>
      </c>
      <c r="D156" s="4" t="s">
        <v>732</v>
      </c>
      <c r="E156" s="5" t="s">
        <v>113</v>
      </c>
      <c r="F156" s="5" t="s">
        <v>20</v>
      </c>
      <c r="G156" s="5" t="s">
        <v>733</v>
      </c>
      <c r="H156" s="5" t="s">
        <v>463</v>
      </c>
      <c r="I156" s="5" t="s">
        <v>23</v>
      </c>
      <c r="J156" s="5" t="s">
        <v>24</v>
      </c>
      <c r="K156" s="10" t="str">
        <f t="shared" si="1"/>
        <v>081262073448</v>
      </c>
      <c r="L156" s="10" t="str">
        <f>IFERROR(
VLOOKUP(
TRIM(
IF(ISNUMBER(FIND(",",E156)),
LEFT(E156,FIND(",",E156)-1),
E156
)
),
master!A:B,
2,
FALSE
),
"Belum ada mapping"
)
</f>
        <v>Sumatera Utara</v>
      </c>
      <c r="M156" s="6">
        <f>IFERROR(__xludf.DUMMYFUNCTION("IF(REGEXMATCH(I156,""Cari Kerja""),1,0)
"),1.0)</f>
        <v>1</v>
      </c>
      <c r="N156" s="6">
        <f>IFERROR(__xludf.DUMMYFUNCTION("IF(REGEXMATCH(I156,""Upskill""),1,0)
"),1.0)</f>
        <v>1</v>
      </c>
      <c r="O156" s="6">
        <f>IFERROR(__xludf.DUMMYFUNCTION("IF(REGEXMATCH(I156,""Networking""),1,0)
"),1.0)</f>
        <v>1</v>
      </c>
      <c r="P156" s="6">
        <f>IFERROR(__xludf.DUMMYFUNCTION("IF(REGEXMATCH(I156,""Switch Career""),1,0)
"),0.0)</f>
        <v>0</v>
      </c>
    </row>
    <row r="157" ht="22.5" customHeight="1">
      <c r="A157" s="3">
        <v>46042.29965821759</v>
      </c>
      <c r="B157" s="5" t="s">
        <v>734</v>
      </c>
      <c r="C157" s="5" t="s">
        <v>735</v>
      </c>
      <c r="D157" s="4" t="s">
        <v>736</v>
      </c>
      <c r="E157" s="5" t="s">
        <v>457</v>
      </c>
      <c r="F157" s="5" t="s">
        <v>20</v>
      </c>
      <c r="G157" s="5" t="s">
        <v>737</v>
      </c>
      <c r="H157" s="5" t="s">
        <v>738</v>
      </c>
      <c r="I157" s="5" t="s">
        <v>23</v>
      </c>
      <c r="J157" s="5" t="s">
        <v>24</v>
      </c>
      <c r="K157" s="6" t="str">
        <f t="shared" si="1"/>
        <v>085841565880</v>
      </c>
      <c r="L157" s="6" t="str">
        <f>IFERROR(
VLOOKUP(
TRIM(
IF(ISNUMBER(FIND(",",E157)),
LEFT(E157,FIND(",",E157)-1),
E157
)
),
master!A:B,
2,
FALSE
),
"Belum ada mapping"
)
</f>
        <v>Lampung</v>
      </c>
      <c r="M157" s="6">
        <f>IFERROR(__xludf.DUMMYFUNCTION("IF(REGEXMATCH(I157,""Cari Kerja""),1,0)
"),1.0)</f>
        <v>1</v>
      </c>
      <c r="N157" s="6">
        <f>IFERROR(__xludf.DUMMYFUNCTION("IF(REGEXMATCH(I157,""Upskill""),1,0)
"),1.0)</f>
        <v>1</v>
      </c>
      <c r="O157" s="6">
        <f>IFERROR(__xludf.DUMMYFUNCTION("IF(REGEXMATCH(I157,""Networking""),1,0)
"),1.0)</f>
        <v>1</v>
      </c>
      <c r="P157" s="6">
        <f>IFERROR(__xludf.DUMMYFUNCTION("IF(REGEXMATCH(I157,""Switch Career""),1,0)
"),0.0)</f>
        <v>0</v>
      </c>
    </row>
    <row r="158" ht="22.5" customHeight="1">
      <c r="A158" s="3">
        <v>46134.72701453704</v>
      </c>
      <c r="B158" s="5" t="s">
        <v>739</v>
      </c>
      <c r="C158" s="5" t="s">
        <v>740</v>
      </c>
      <c r="D158" s="4" t="s">
        <v>741</v>
      </c>
      <c r="E158" s="5" t="s">
        <v>309</v>
      </c>
      <c r="F158" s="5" t="s">
        <v>20</v>
      </c>
      <c r="G158" s="5" t="s">
        <v>742</v>
      </c>
      <c r="H158" s="5" t="s">
        <v>136</v>
      </c>
      <c r="I158" s="5" t="s">
        <v>453</v>
      </c>
      <c r="J158" s="5" t="s">
        <v>24</v>
      </c>
      <c r="K158" s="10" t="str">
        <f t="shared" si="1"/>
        <v>085339087160</v>
      </c>
      <c r="L158" s="10" t="str">
        <f>IFERROR(
VLOOKUP(
TRIM(
IF(ISNUMBER(FIND(",",E158)),
LEFT(E158,FIND(",",E158)-1),
E158
)
),
master!A:B,
2,
FALSE
),
"Belum ada mapping"
)
</f>
        <v>Jawa Timur</v>
      </c>
      <c r="M158" s="10">
        <f>IFERROR(__xludf.DUMMYFUNCTION("IF(REGEXMATCH(I158,""Cari Kerja""),1,0)
"),1.0)</f>
        <v>1</v>
      </c>
      <c r="N158" s="10">
        <f>IFERROR(__xludf.DUMMYFUNCTION("IF(REGEXMATCH(I158,""Upskill""),1,0)
"),0.0)</f>
        <v>0</v>
      </c>
      <c r="O158" s="10">
        <f>IFERROR(__xludf.DUMMYFUNCTION("IF(REGEXMATCH(I158,""Networking""),1,0)
"),1.0)</f>
        <v>1</v>
      </c>
      <c r="P158" s="10">
        <f>IFERROR(__xludf.DUMMYFUNCTION("IF(REGEXMATCH(I158,""Switch Career""),1,0)
"),1.0)</f>
        <v>1</v>
      </c>
    </row>
    <row r="159" ht="22.5" customHeight="1">
      <c r="A159" s="3">
        <v>46044.560487546296</v>
      </c>
      <c r="B159" s="5" t="s">
        <v>743</v>
      </c>
      <c r="C159" s="5" t="s">
        <v>744</v>
      </c>
      <c r="D159" s="4" t="s">
        <v>745</v>
      </c>
      <c r="E159" s="5" t="s">
        <v>551</v>
      </c>
      <c r="F159" s="5" t="s">
        <v>49</v>
      </c>
      <c r="G159" s="5" t="s">
        <v>746</v>
      </c>
      <c r="H159" s="5" t="s">
        <v>198</v>
      </c>
      <c r="I159" s="5" t="s">
        <v>52</v>
      </c>
      <c r="J159" s="5" t="s">
        <v>24</v>
      </c>
      <c r="K159" s="6" t="str">
        <f t="shared" si="1"/>
        <v>081296625919</v>
      </c>
      <c r="L159" s="6" t="str">
        <f>IFERROR(
VLOOKUP(
TRIM(
IF(ISNUMBER(FIND(",",E159)),
LEFT(E159,FIND(",",E159)-1),
E159
)
),
master!A:B,
2,
FALSE
),
"Belum ada mapping"
)
</f>
        <v>Jawa Barat</v>
      </c>
      <c r="M159" s="6">
        <f>IFERROR(__xludf.DUMMYFUNCTION("IF(REGEXMATCH(I159,""Cari Kerja""),1,0)
"),0.0)</f>
        <v>0</v>
      </c>
      <c r="N159" s="6">
        <f>IFERROR(__xludf.DUMMYFUNCTION("IF(REGEXMATCH(I159,""Upskill""),1,0)
"),1.0)</f>
        <v>1</v>
      </c>
      <c r="O159" s="6">
        <f>IFERROR(__xludf.DUMMYFUNCTION("IF(REGEXMATCH(I159,""Networking""),1,0)
"),1.0)</f>
        <v>1</v>
      </c>
      <c r="P159" s="6">
        <f>IFERROR(__xludf.DUMMYFUNCTION("IF(REGEXMATCH(I159,""Switch Career""),1,0)
"),1.0)</f>
        <v>1</v>
      </c>
    </row>
    <row r="160" ht="22.5" customHeight="1">
      <c r="A160" s="7">
        <v>46041.41744983796</v>
      </c>
      <c r="B160" s="8" t="s">
        <v>747</v>
      </c>
      <c r="C160" s="8" t="s">
        <v>748</v>
      </c>
      <c r="D160" s="9" t="s">
        <v>749</v>
      </c>
      <c r="E160" s="8" t="s">
        <v>134</v>
      </c>
      <c r="F160" s="8" t="s">
        <v>20</v>
      </c>
      <c r="G160" s="8" t="s">
        <v>267</v>
      </c>
      <c r="H160" s="8" t="s">
        <v>301</v>
      </c>
      <c r="I160" s="8" t="s">
        <v>13</v>
      </c>
      <c r="J160" s="8" t="s">
        <v>24</v>
      </c>
      <c r="K160" s="6" t="str">
        <f t="shared" si="1"/>
        <v>081214245731</v>
      </c>
      <c r="L160" s="6" t="str">
        <f>IFERROR(
VLOOKUP(
TRIM(
IF(ISNUMBER(FIND(",",E160)),
LEFT(E160,FIND(",",E160)-1),
E160
)
),
master!A:B,
2,
FALSE
),
"Belum ada mapping"
)
</f>
        <v>Jawa Barat</v>
      </c>
      <c r="M160" s="6">
        <f>IFERROR(__xludf.DUMMYFUNCTION("IF(REGEXMATCH(I160,""Cari Kerja""),1,0)
"),0.0)</f>
        <v>0</v>
      </c>
      <c r="N160" s="6">
        <f>IFERROR(__xludf.DUMMYFUNCTION("IF(REGEXMATCH(I160,""Upskill""),1,0)
"),1.0)</f>
        <v>1</v>
      </c>
      <c r="O160" s="6">
        <f>IFERROR(__xludf.DUMMYFUNCTION("IF(REGEXMATCH(I160,""Networking""),1,0)
"),0.0)</f>
        <v>0</v>
      </c>
      <c r="P160" s="6">
        <f>IFERROR(__xludf.DUMMYFUNCTION("IF(REGEXMATCH(I160,""Switch Career""),1,0)
"),0.0)</f>
        <v>0</v>
      </c>
    </row>
    <row r="161" ht="22.5" customHeight="1">
      <c r="A161" s="3">
        <v>46042.4704502199</v>
      </c>
      <c r="B161" s="5" t="s">
        <v>750</v>
      </c>
      <c r="C161" s="5" t="s">
        <v>751</v>
      </c>
      <c r="D161" s="4" t="s">
        <v>752</v>
      </c>
      <c r="E161" s="5" t="s">
        <v>551</v>
      </c>
      <c r="F161" s="5" t="s">
        <v>49</v>
      </c>
      <c r="G161" s="5" t="s">
        <v>753</v>
      </c>
      <c r="H161" s="5" t="s">
        <v>209</v>
      </c>
      <c r="I161" s="5" t="s">
        <v>23</v>
      </c>
      <c r="J161" s="5" t="s">
        <v>24</v>
      </c>
      <c r="K161" s="6" t="str">
        <f t="shared" si="1"/>
        <v>085814021065</v>
      </c>
      <c r="L161" s="6" t="str">
        <f>IFERROR(
VLOOKUP(
TRIM(
IF(ISNUMBER(FIND(",",E161)),
LEFT(E161,FIND(",",E161)-1),
E161
)
),
master!A:B,
2,
FALSE
),
"Belum ada mapping"
)
</f>
        <v>Jawa Barat</v>
      </c>
      <c r="M161" s="6">
        <f>IFERROR(__xludf.DUMMYFUNCTION("IF(REGEXMATCH(I161,""Cari Kerja""),1,0)
"),1.0)</f>
        <v>1</v>
      </c>
      <c r="N161" s="6">
        <f>IFERROR(__xludf.DUMMYFUNCTION("IF(REGEXMATCH(I161,""Upskill""),1,0)
"),1.0)</f>
        <v>1</v>
      </c>
      <c r="O161" s="6">
        <f>IFERROR(__xludf.DUMMYFUNCTION("IF(REGEXMATCH(I161,""Networking""),1,0)
"),1.0)</f>
        <v>1</v>
      </c>
      <c r="P161" s="6">
        <f>IFERROR(__xludf.DUMMYFUNCTION("IF(REGEXMATCH(I161,""Switch Career""),1,0)
"),0.0)</f>
        <v>0</v>
      </c>
    </row>
    <row r="162" ht="22.5" customHeight="1">
      <c r="A162" s="3">
        <v>46043.29287159722</v>
      </c>
      <c r="B162" s="5" t="s">
        <v>754</v>
      </c>
      <c r="C162" s="5" t="s">
        <v>755</v>
      </c>
      <c r="D162" s="4" t="s">
        <v>756</v>
      </c>
      <c r="E162" s="5" t="s">
        <v>207</v>
      </c>
      <c r="F162" s="5" t="s">
        <v>49</v>
      </c>
      <c r="G162" s="5" t="s">
        <v>757</v>
      </c>
      <c r="H162" s="5" t="s">
        <v>51</v>
      </c>
      <c r="I162" s="5" t="s">
        <v>31</v>
      </c>
      <c r="J162" s="5" t="s">
        <v>24</v>
      </c>
      <c r="K162" s="6" t="str">
        <f t="shared" si="1"/>
        <v>08996321019</v>
      </c>
      <c r="L162" s="6" t="str">
        <f>IFERROR(
VLOOKUP(
TRIM(
IF(ISNUMBER(FIND(",",E162)),
LEFT(E162,FIND(",",E162)-1),
E162
)
),
master!A:B,
2,
FALSE
),
"Belum ada mapping"
)
</f>
        <v>Jakarta</v>
      </c>
      <c r="M162" s="6">
        <f>IFERROR(__xludf.DUMMYFUNCTION("IF(REGEXMATCH(I162,""Cari Kerja""),1,0)
"),1.0)</f>
        <v>1</v>
      </c>
      <c r="N162" s="6">
        <f>IFERROR(__xludf.DUMMYFUNCTION("IF(REGEXMATCH(I162,""Upskill""),1,0)
"),1.0)</f>
        <v>1</v>
      </c>
      <c r="O162" s="6">
        <f>IFERROR(__xludf.DUMMYFUNCTION("IF(REGEXMATCH(I162,""Networking""),1,0)
"),1.0)</f>
        <v>1</v>
      </c>
      <c r="P162" s="6">
        <f>IFERROR(__xludf.DUMMYFUNCTION("IF(REGEXMATCH(I162,""Switch Career""),1,0)
"),1.0)</f>
        <v>1</v>
      </c>
    </row>
    <row r="163" ht="22.5" customHeight="1">
      <c r="A163" s="3">
        <v>46041.97680107639</v>
      </c>
      <c r="B163" s="5" t="s">
        <v>758</v>
      </c>
      <c r="C163" s="5" t="s">
        <v>759</v>
      </c>
      <c r="D163" s="4" t="s">
        <v>760</v>
      </c>
      <c r="E163" s="5" t="s">
        <v>551</v>
      </c>
      <c r="F163" s="5" t="s">
        <v>49</v>
      </c>
      <c r="G163" s="5" t="s">
        <v>21</v>
      </c>
      <c r="H163" s="5" t="s">
        <v>44</v>
      </c>
      <c r="I163" s="5" t="s">
        <v>109</v>
      </c>
      <c r="J163" s="5" t="s">
        <v>24</v>
      </c>
      <c r="K163" s="6" t="str">
        <f t="shared" si="1"/>
        <v>085282504617</v>
      </c>
      <c r="L163" s="6" t="str">
        <f>IFERROR(
VLOOKUP(
TRIM(
IF(ISNUMBER(FIND(",",E163)),
LEFT(E163,FIND(",",E163)-1),
E163
)
),
master!A:B,
2,
FALSE
),
"Belum ada mapping"
)
</f>
        <v>Jawa Barat</v>
      </c>
      <c r="M163" s="6">
        <f>IFERROR(__xludf.DUMMYFUNCTION("IF(REGEXMATCH(I163,""Cari Kerja""),1,0)
"),1.0)</f>
        <v>1</v>
      </c>
      <c r="N163" s="6">
        <f>IFERROR(__xludf.DUMMYFUNCTION("IF(REGEXMATCH(I163,""Upskill""),1,0)
"),0.0)</f>
        <v>0</v>
      </c>
      <c r="O163" s="6">
        <f>IFERROR(__xludf.DUMMYFUNCTION("IF(REGEXMATCH(I163,""Networking""),1,0)
"),1.0)</f>
        <v>1</v>
      </c>
      <c r="P163" s="6">
        <f>IFERROR(__xludf.DUMMYFUNCTION("IF(REGEXMATCH(I163,""Switch Career""),1,0)
"),0.0)</f>
        <v>0</v>
      </c>
    </row>
    <row r="164" ht="22.5" customHeight="1">
      <c r="A164" s="3">
        <v>46044.58706612268</v>
      </c>
      <c r="B164" s="5" t="s">
        <v>761</v>
      </c>
      <c r="C164" s="5" t="s">
        <v>762</v>
      </c>
      <c r="D164" s="4" t="s">
        <v>763</v>
      </c>
      <c r="E164" s="5" t="s">
        <v>414</v>
      </c>
      <c r="F164" s="5" t="s">
        <v>49</v>
      </c>
      <c r="G164" s="5" t="s">
        <v>369</v>
      </c>
      <c r="H164" s="5" t="s">
        <v>51</v>
      </c>
      <c r="I164" s="5" t="s">
        <v>59</v>
      </c>
      <c r="J164" s="5" t="s">
        <v>24</v>
      </c>
      <c r="K164" s="6" t="str">
        <f t="shared" si="1"/>
        <v>089694322041</v>
      </c>
      <c r="L164" s="6" t="str">
        <f>IFERROR(
VLOOKUP(
TRIM(
IF(ISNUMBER(FIND(",",E164)),
LEFT(E164,FIND(",",E164)-1),
E164
)
),
master!A:B,
2,
FALSE
),
"Belum ada mapping"
)
</f>
        <v>DI Yogyakarta</v>
      </c>
      <c r="M164" s="6">
        <f>IFERROR(__xludf.DUMMYFUNCTION("IF(REGEXMATCH(I164,""Cari Kerja""),1,0)
"),0.0)</f>
        <v>0</v>
      </c>
      <c r="N164" s="6">
        <f>IFERROR(__xludf.DUMMYFUNCTION("IF(REGEXMATCH(I164,""Upskill""),1,0)
"),1.0)</f>
        <v>1</v>
      </c>
      <c r="O164" s="6">
        <f>IFERROR(__xludf.DUMMYFUNCTION("IF(REGEXMATCH(I164,""Networking""),1,0)
"),1.0)</f>
        <v>1</v>
      </c>
      <c r="P164" s="6">
        <f>IFERROR(__xludf.DUMMYFUNCTION("IF(REGEXMATCH(I164,""Switch Career""),1,0)
"),0.0)</f>
        <v>0</v>
      </c>
    </row>
    <row r="165" ht="22.5" customHeight="1">
      <c r="A165" s="3">
        <v>46042.38493591435</v>
      </c>
      <c r="B165" s="5" t="s">
        <v>764</v>
      </c>
      <c r="C165" s="5" t="s">
        <v>765</v>
      </c>
      <c r="D165" s="4" t="s">
        <v>766</v>
      </c>
      <c r="E165" s="5" t="s">
        <v>92</v>
      </c>
      <c r="F165" s="5" t="s">
        <v>49</v>
      </c>
      <c r="G165" s="5" t="s">
        <v>767</v>
      </c>
      <c r="H165" s="5" t="s">
        <v>58</v>
      </c>
      <c r="I165" s="5" t="s">
        <v>59</v>
      </c>
      <c r="J165" s="5" t="s">
        <v>76</v>
      </c>
      <c r="K165" s="6" t="str">
        <f t="shared" si="1"/>
        <v>082116938157</v>
      </c>
      <c r="L165" s="6" t="str">
        <f>IFERROR(
VLOOKUP(
TRIM(
IF(ISNUMBER(FIND(",",E165)),
LEFT(E165,FIND(",",E165)-1),
E165
)
),
master!A:B,
2,
FALSE
),
"Belum ada mapping"
)
</f>
        <v>Jawa Barat</v>
      </c>
      <c r="M165" s="6">
        <f>IFERROR(__xludf.DUMMYFUNCTION("IF(REGEXMATCH(I165,""Cari Kerja""),1,0)
"),0.0)</f>
        <v>0</v>
      </c>
      <c r="N165" s="6">
        <f>IFERROR(__xludf.DUMMYFUNCTION("IF(REGEXMATCH(I165,""Upskill""),1,0)
"),1.0)</f>
        <v>1</v>
      </c>
      <c r="O165" s="6">
        <f>IFERROR(__xludf.DUMMYFUNCTION("IF(REGEXMATCH(I165,""Networking""),1,0)
"),1.0)</f>
        <v>1</v>
      </c>
      <c r="P165" s="6">
        <f>IFERROR(__xludf.DUMMYFUNCTION("IF(REGEXMATCH(I165,""Switch Career""),1,0)
"),0.0)</f>
        <v>0</v>
      </c>
    </row>
    <row r="166" ht="22.5" customHeight="1">
      <c r="A166" s="3">
        <v>46042.34455821759</v>
      </c>
      <c r="B166" s="5" t="s">
        <v>768</v>
      </c>
      <c r="C166" s="5" t="s">
        <v>769</v>
      </c>
      <c r="D166" s="4" t="s">
        <v>770</v>
      </c>
      <c r="E166" s="5" t="s">
        <v>551</v>
      </c>
      <c r="F166" s="5" t="s">
        <v>20</v>
      </c>
      <c r="G166" s="5" t="s">
        <v>771</v>
      </c>
      <c r="H166" s="5" t="s">
        <v>187</v>
      </c>
      <c r="I166" s="5" t="s">
        <v>235</v>
      </c>
      <c r="J166" s="5" t="s">
        <v>24</v>
      </c>
      <c r="K166" s="6" t="str">
        <f t="shared" si="1"/>
        <v>082119051840</v>
      </c>
      <c r="L166" s="6" t="str">
        <f>IFERROR(
VLOOKUP(
TRIM(
IF(ISNUMBER(FIND(",",E166)),
LEFT(E166,FIND(",",E166)-1),
E166
)
),
master!A:B,
2,
FALSE
),
"Belum ada mapping"
)
</f>
        <v>Jawa Barat</v>
      </c>
      <c r="M166" s="6">
        <f>IFERROR(__xludf.DUMMYFUNCTION("IF(REGEXMATCH(I166,""Cari Kerja""),1,0)
"),1.0)</f>
        <v>1</v>
      </c>
      <c r="N166" s="6">
        <f>IFERROR(__xludf.DUMMYFUNCTION("IF(REGEXMATCH(I166,""Upskill""),1,0)
"),1.0)</f>
        <v>1</v>
      </c>
      <c r="O166" s="6">
        <f>IFERROR(__xludf.DUMMYFUNCTION("IF(REGEXMATCH(I166,""Networking""),1,0)
"),0.0)</f>
        <v>0</v>
      </c>
      <c r="P166" s="6">
        <f>IFERROR(__xludf.DUMMYFUNCTION("IF(REGEXMATCH(I166,""Switch Career""),1,0)
"),1.0)</f>
        <v>1</v>
      </c>
    </row>
    <row r="167" ht="22.5" customHeight="1">
      <c r="A167" s="3">
        <v>46044.012153460644</v>
      </c>
      <c r="B167" s="5" t="s">
        <v>772</v>
      </c>
      <c r="C167" s="5" t="s">
        <v>773</v>
      </c>
      <c r="D167" s="4" t="s">
        <v>774</v>
      </c>
      <c r="E167" s="5" t="s">
        <v>775</v>
      </c>
      <c r="F167" s="5" t="s">
        <v>49</v>
      </c>
      <c r="G167" s="5" t="s">
        <v>776</v>
      </c>
      <c r="H167" s="5" t="s">
        <v>513</v>
      </c>
      <c r="I167" s="5" t="s">
        <v>52</v>
      </c>
      <c r="J167" s="5" t="s">
        <v>76</v>
      </c>
      <c r="K167" s="6" t="str">
        <f t="shared" si="1"/>
        <v>08981050080</v>
      </c>
      <c r="L167" s="6" t="str">
        <f>IFERROR(
VLOOKUP(
TRIM(
IF(ISNUMBER(FIND(",",E167)),
LEFT(E167,FIND(",",E167)-1),
E167
)
),
master!A:B,
2,
FALSE
),
"Belum ada mapping"
)
</f>
        <v>Jakarta</v>
      </c>
      <c r="M167" s="6">
        <f>IFERROR(__xludf.DUMMYFUNCTION("IF(REGEXMATCH(I167,""Cari Kerja""),1,0)
"),0.0)</f>
        <v>0</v>
      </c>
      <c r="N167" s="6">
        <f>IFERROR(__xludf.DUMMYFUNCTION("IF(REGEXMATCH(I167,""Upskill""),1,0)
"),1.0)</f>
        <v>1</v>
      </c>
      <c r="O167" s="6">
        <f>IFERROR(__xludf.DUMMYFUNCTION("IF(REGEXMATCH(I167,""Networking""),1,0)
"),1.0)</f>
        <v>1</v>
      </c>
      <c r="P167" s="6">
        <f>IFERROR(__xludf.DUMMYFUNCTION("IF(REGEXMATCH(I167,""Switch Career""),1,0)
"),1.0)</f>
        <v>1</v>
      </c>
    </row>
    <row r="168" ht="22.5" customHeight="1">
      <c r="A168" s="3">
        <v>46043.629871412035</v>
      </c>
      <c r="B168" s="5" t="s">
        <v>777</v>
      </c>
      <c r="C168" s="5" t="s">
        <v>778</v>
      </c>
      <c r="D168" s="4" t="s">
        <v>779</v>
      </c>
      <c r="E168" s="5" t="s">
        <v>35</v>
      </c>
      <c r="F168" s="5" t="s">
        <v>20</v>
      </c>
      <c r="G168" s="5" t="s">
        <v>780</v>
      </c>
      <c r="H168" s="5" t="s">
        <v>781</v>
      </c>
      <c r="I168" s="5" t="s">
        <v>23</v>
      </c>
      <c r="J168" s="5" t="s">
        <v>24</v>
      </c>
      <c r="K168" s="6" t="str">
        <f t="shared" si="1"/>
        <v>085754588655</v>
      </c>
      <c r="L168" s="6" t="str">
        <f>IFERROR(
VLOOKUP(
TRIM(
IF(ISNUMBER(FIND(",",E168)),
LEFT(E168,FIND(",",E168)-1),
E168
)
),
master!A:B,
2,
FALSE
),
"Belum ada mapping"
)
</f>
        <v>Jawa Timur</v>
      </c>
      <c r="M168" s="6">
        <f>IFERROR(__xludf.DUMMYFUNCTION("IF(REGEXMATCH(I168,""Cari Kerja""),1,0)
"),1.0)</f>
        <v>1</v>
      </c>
      <c r="N168" s="6">
        <f>IFERROR(__xludf.DUMMYFUNCTION("IF(REGEXMATCH(I168,""Upskill""),1,0)
"),1.0)</f>
        <v>1</v>
      </c>
      <c r="O168" s="6">
        <f>IFERROR(__xludf.DUMMYFUNCTION("IF(REGEXMATCH(I168,""Networking""),1,0)
"),1.0)</f>
        <v>1</v>
      </c>
      <c r="P168" s="6">
        <f>IFERROR(__xludf.DUMMYFUNCTION("IF(REGEXMATCH(I168,""Switch Career""),1,0)
"),0.0)</f>
        <v>0</v>
      </c>
    </row>
    <row r="169" ht="22.5" customHeight="1">
      <c r="A169" s="3">
        <v>46147.6161167824</v>
      </c>
      <c r="B169" s="5" t="s">
        <v>782</v>
      </c>
      <c r="C169" s="5" t="s">
        <v>783</v>
      </c>
      <c r="D169" s="4" t="s">
        <v>784</v>
      </c>
      <c r="E169" s="5" t="s">
        <v>551</v>
      </c>
      <c r="F169" s="5" t="s">
        <v>20</v>
      </c>
      <c r="G169" s="5" t="s">
        <v>785</v>
      </c>
      <c r="H169" s="5" t="s">
        <v>51</v>
      </c>
      <c r="I169" s="5" t="s">
        <v>23</v>
      </c>
      <c r="J169" s="5" t="s">
        <v>76</v>
      </c>
      <c r="K169" s="10" t="str">
        <f t="shared" si="1"/>
        <v>085880894556</v>
      </c>
      <c r="L169" s="10" t="str">
        <f>IFERROR(
VLOOKUP(
TRIM(
IF(ISNUMBER(FIND(",",E169)),
LEFT(E169,FIND(",",E169)-1),
E169
)
),
master!A:B,
2,
FALSE
),
"Belum ada mapping"
)
</f>
        <v>Jawa Barat</v>
      </c>
      <c r="M169" s="10">
        <f>IFERROR(__xludf.DUMMYFUNCTION("IF(REGEXMATCH(I169,""Cari Kerja""),1,0)
"),1.0)</f>
        <v>1</v>
      </c>
      <c r="N169" s="10">
        <f>IFERROR(__xludf.DUMMYFUNCTION("IF(REGEXMATCH(I169,""Upskill""),1,0)
"),1.0)</f>
        <v>1</v>
      </c>
      <c r="O169" s="10">
        <f>IFERROR(__xludf.DUMMYFUNCTION("IF(REGEXMATCH(I169,""Networking""),1,0)
"),1.0)</f>
        <v>1</v>
      </c>
      <c r="P169" s="10">
        <f>IFERROR(__xludf.DUMMYFUNCTION("IF(REGEXMATCH(I169,""Switch Career""),1,0)
"),0.0)</f>
        <v>0</v>
      </c>
    </row>
    <row r="170" ht="22.5" customHeight="1">
      <c r="A170" s="3">
        <v>46055.693848344905</v>
      </c>
      <c r="B170" s="5" t="s">
        <v>786</v>
      </c>
      <c r="C170" s="5" t="s">
        <v>787</v>
      </c>
      <c r="D170" s="4" t="s">
        <v>788</v>
      </c>
      <c r="E170" s="5" t="s">
        <v>86</v>
      </c>
      <c r="F170" s="5" t="s">
        <v>20</v>
      </c>
      <c r="G170" s="5" t="s">
        <v>69</v>
      </c>
      <c r="H170" s="5" t="s">
        <v>37</v>
      </c>
      <c r="I170" s="5" t="s">
        <v>23</v>
      </c>
      <c r="J170" s="5" t="s">
        <v>24</v>
      </c>
      <c r="K170" s="10" t="str">
        <f t="shared" si="1"/>
        <v>08990754454</v>
      </c>
      <c r="L170" s="10" t="str">
        <f>IFERROR(
VLOOKUP(
TRIM(
IF(ISNUMBER(FIND(",",E170)),
LEFT(E170,FIND(",",E170)-1),
E170
)
),
master!A:B,
2,
FALSE
),
"Belum ada mapping"
)
</f>
        <v>Jawa Tengah</v>
      </c>
      <c r="M170" s="10">
        <f>IFERROR(__xludf.DUMMYFUNCTION("IF(REGEXMATCH(I170,""Cari Kerja""),1,0)
"),1.0)</f>
        <v>1</v>
      </c>
      <c r="N170" s="10">
        <f>IFERROR(__xludf.DUMMYFUNCTION("IF(REGEXMATCH(I170,""Upskill""),1,0)
"),1.0)</f>
        <v>1</v>
      </c>
      <c r="O170" s="10">
        <f>IFERROR(__xludf.DUMMYFUNCTION("IF(REGEXMATCH(I170,""Networking""),1,0)
"),1.0)</f>
        <v>1</v>
      </c>
      <c r="P170" s="10">
        <f>IFERROR(__xludf.DUMMYFUNCTION("IF(REGEXMATCH(I170,""Switch Career""),1,0)
"),0.0)</f>
        <v>0</v>
      </c>
    </row>
    <row r="171" ht="22.5" customHeight="1">
      <c r="A171" s="3">
        <v>46047.50262008102</v>
      </c>
      <c r="B171" s="5" t="s">
        <v>789</v>
      </c>
      <c r="C171" s="5" t="s">
        <v>790</v>
      </c>
      <c r="D171" s="4" t="s">
        <v>791</v>
      </c>
      <c r="E171" s="5" t="s">
        <v>484</v>
      </c>
      <c r="F171" s="5" t="s">
        <v>20</v>
      </c>
      <c r="G171" s="5" t="s">
        <v>69</v>
      </c>
      <c r="H171" s="5" t="s">
        <v>51</v>
      </c>
      <c r="I171" s="5" t="s">
        <v>23</v>
      </c>
      <c r="J171" s="5" t="s">
        <v>24</v>
      </c>
      <c r="K171" s="6" t="str">
        <f t="shared" si="1"/>
        <v>081328991899</v>
      </c>
      <c r="L171" s="6" t="str">
        <f>IFERROR(
VLOOKUP(
TRIM(
IF(ISNUMBER(FIND(",",E171)),
LEFT(E171,FIND(",",E171)-1),
E171
)
),
master!A:B,
2,
FALSE
),
"Belum ada mapping"
)
</f>
        <v>Jawa Tengah</v>
      </c>
      <c r="M171" s="6">
        <f>IFERROR(__xludf.DUMMYFUNCTION("IF(REGEXMATCH(I171,""Cari Kerja""),1,0)
"),1.0)</f>
        <v>1</v>
      </c>
      <c r="N171" s="6">
        <f>IFERROR(__xludf.DUMMYFUNCTION("IF(REGEXMATCH(I171,""Upskill""),1,0)
"),1.0)</f>
        <v>1</v>
      </c>
      <c r="O171" s="6">
        <f>IFERROR(__xludf.DUMMYFUNCTION("IF(REGEXMATCH(I171,""Networking""),1,0)
"),1.0)</f>
        <v>1</v>
      </c>
      <c r="P171" s="6">
        <f>IFERROR(__xludf.DUMMYFUNCTION("IF(REGEXMATCH(I171,""Switch Career""),1,0)
"),0.0)</f>
        <v>0</v>
      </c>
    </row>
    <row r="172" ht="22.5" customHeight="1">
      <c r="A172" s="3">
        <v>46057.496047650464</v>
      </c>
      <c r="B172" s="5" t="s">
        <v>792</v>
      </c>
      <c r="C172" s="5" t="s">
        <v>793</v>
      </c>
      <c r="D172" s="4" t="s">
        <v>794</v>
      </c>
      <c r="E172" s="5" t="s">
        <v>795</v>
      </c>
      <c r="F172" s="5" t="s">
        <v>20</v>
      </c>
      <c r="G172" s="5" t="s">
        <v>796</v>
      </c>
      <c r="H172" s="5" t="s">
        <v>51</v>
      </c>
      <c r="I172" s="5" t="s">
        <v>31</v>
      </c>
      <c r="J172" s="5" t="s">
        <v>38</v>
      </c>
      <c r="K172" s="10" t="str">
        <f t="shared" si="1"/>
        <v>089513143787</v>
      </c>
      <c r="L172" s="10" t="str">
        <f>IFERROR(
VLOOKUP(
TRIM(
IF(ISNUMBER(FIND(",",E172)),
LEFT(E172,FIND(",",E172)-1),
E172
)
),
master!A:B,
2,
FALSE
),
"Belum ada mapping"
)
</f>
        <v>Jakarta</v>
      </c>
      <c r="M172" s="10">
        <f>IFERROR(__xludf.DUMMYFUNCTION("IF(REGEXMATCH(I172,""Cari Kerja""),1,0)
"),1.0)</f>
        <v>1</v>
      </c>
      <c r="N172" s="10">
        <f>IFERROR(__xludf.DUMMYFUNCTION("IF(REGEXMATCH(I172,""Upskill""),1,0)
"),1.0)</f>
        <v>1</v>
      </c>
      <c r="O172" s="10">
        <f>IFERROR(__xludf.DUMMYFUNCTION("IF(REGEXMATCH(I172,""Networking""),1,0)
"),1.0)</f>
        <v>1</v>
      </c>
      <c r="P172" s="10">
        <f>IFERROR(__xludf.DUMMYFUNCTION("IF(REGEXMATCH(I172,""Switch Career""),1,0)
"),1.0)</f>
        <v>1</v>
      </c>
    </row>
    <row r="173" ht="22.5" customHeight="1">
      <c r="A173" s="3">
        <v>46046.56284949074</v>
      </c>
      <c r="B173" s="5" t="s">
        <v>797</v>
      </c>
      <c r="C173" s="5" t="s">
        <v>798</v>
      </c>
      <c r="D173" s="4" t="s">
        <v>799</v>
      </c>
      <c r="E173" s="5" t="s">
        <v>207</v>
      </c>
      <c r="F173" s="5" t="s">
        <v>49</v>
      </c>
      <c r="G173" s="5" t="s">
        <v>800</v>
      </c>
      <c r="H173" s="5" t="s">
        <v>51</v>
      </c>
      <c r="I173" s="5" t="s">
        <v>14</v>
      </c>
      <c r="J173" s="5" t="s">
        <v>24</v>
      </c>
      <c r="K173" s="6" t="str">
        <f t="shared" si="1"/>
        <v>081224288870</v>
      </c>
      <c r="L173" s="6" t="str">
        <f>IFERROR(
VLOOKUP(
TRIM(
IF(ISNUMBER(FIND(",",E173)),
LEFT(E173,FIND(",",E173)-1),
E173
)
),
master!A:B,
2,
FALSE
),
"Belum ada mapping"
)
</f>
        <v>Jakarta</v>
      </c>
      <c r="M173" s="6">
        <f>IFERROR(__xludf.DUMMYFUNCTION("IF(REGEXMATCH(I173,""Cari Kerja""),1,0)
"),0.0)</f>
        <v>0</v>
      </c>
      <c r="N173" s="6">
        <f>IFERROR(__xludf.DUMMYFUNCTION("IF(REGEXMATCH(I173,""Upskill""),1,0)
"),0.0)</f>
        <v>0</v>
      </c>
      <c r="O173" s="6">
        <f>IFERROR(__xludf.DUMMYFUNCTION("IF(REGEXMATCH(I173,""Networking""),1,0)
"),1.0)</f>
        <v>1</v>
      </c>
      <c r="P173" s="6">
        <f>IFERROR(__xludf.DUMMYFUNCTION("IF(REGEXMATCH(I173,""Switch Career""),1,0)
"),0.0)</f>
        <v>0</v>
      </c>
    </row>
    <row r="174" ht="22.5" customHeight="1">
      <c r="A174" s="3">
        <v>46042.269543622686</v>
      </c>
      <c r="B174" s="5" t="s">
        <v>801</v>
      </c>
      <c r="C174" s="5" t="s">
        <v>802</v>
      </c>
      <c r="D174" s="4" t="s">
        <v>803</v>
      </c>
      <c r="E174" s="5" t="s">
        <v>804</v>
      </c>
      <c r="F174" s="5" t="s">
        <v>20</v>
      </c>
      <c r="G174" s="5" t="s">
        <v>805</v>
      </c>
      <c r="H174" s="5" t="s">
        <v>37</v>
      </c>
      <c r="I174" s="5" t="s">
        <v>12</v>
      </c>
      <c r="J174" s="5" t="s">
        <v>24</v>
      </c>
      <c r="K174" s="6" t="str">
        <f t="shared" si="1"/>
        <v>088803808950</v>
      </c>
      <c r="L174" s="6" t="str">
        <f>IFERROR(
VLOOKUP(
TRIM(
IF(ISNUMBER(FIND(",",E174)),
LEFT(E174,FIND(",",E174)-1),
E174
)
),
master!A:B,
2,
FALSE
),
"Belum ada mapping"
)
</f>
        <v>Jawa Tengah</v>
      </c>
      <c r="M174" s="6">
        <f>IFERROR(__xludf.DUMMYFUNCTION("IF(REGEXMATCH(I174,""Cari Kerja""),1,0)
"),1.0)</f>
        <v>1</v>
      </c>
      <c r="N174" s="6">
        <f>IFERROR(__xludf.DUMMYFUNCTION("IF(REGEXMATCH(I174,""Upskill""),1,0)
"),0.0)</f>
        <v>0</v>
      </c>
      <c r="O174" s="6">
        <f>IFERROR(__xludf.DUMMYFUNCTION("IF(REGEXMATCH(I174,""Networking""),1,0)
"),0.0)</f>
        <v>0</v>
      </c>
      <c r="P174" s="6">
        <f>IFERROR(__xludf.DUMMYFUNCTION("IF(REGEXMATCH(I174,""Switch Career""),1,0)
"),0.0)</f>
        <v>0</v>
      </c>
    </row>
    <row r="175" ht="22.5" customHeight="1">
      <c r="A175" s="3">
        <v>46046.54061118056</v>
      </c>
      <c r="B175" s="5" t="s">
        <v>806</v>
      </c>
      <c r="C175" s="5" t="s">
        <v>807</v>
      </c>
      <c r="D175" s="4" t="s">
        <v>808</v>
      </c>
      <c r="E175" s="5" t="s">
        <v>809</v>
      </c>
      <c r="F175" s="5" t="s">
        <v>20</v>
      </c>
      <c r="G175" s="5" t="s">
        <v>150</v>
      </c>
      <c r="H175" s="5" t="s">
        <v>51</v>
      </c>
      <c r="I175" s="5" t="s">
        <v>31</v>
      </c>
      <c r="J175" s="5" t="s">
        <v>38</v>
      </c>
      <c r="K175" s="6" t="str">
        <f t="shared" si="1"/>
        <v>085262367955</v>
      </c>
      <c r="L175" s="6" t="str">
        <f>IFERROR(
VLOOKUP(
TRIM(
IF(ISNUMBER(FIND(",",E175)),
LEFT(E175,FIND(",",E175)-1),
E175
)
),
master!A:B,
2,
FALSE
),
"Belum ada mapping"
)
</f>
        <v>Sumatera Utara</v>
      </c>
      <c r="M175" s="6">
        <f>IFERROR(__xludf.DUMMYFUNCTION("IF(REGEXMATCH(I175,""Cari Kerja""),1,0)
"),1.0)</f>
        <v>1</v>
      </c>
      <c r="N175" s="6">
        <f>IFERROR(__xludf.DUMMYFUNCTION("IF(REGEXMATCH(I175,""Upskill""),1,0)
"),1.0)</f>
        <v>1</v>
      </c>
      <c r="O175" s="6">
        <f>IFERROR(__xludf.DUMMYFUNCTION("IF(REGEXMATCH(I175,""Networking""),1,0)
"),1.0)</f>
        <v>1</v>
      </c>
      <c r="P175" s="6">
        <f>IFERROR(__xludf.DUMMYFUNCTION("IF(REGEXMATCH(I175,""Switch Career""),1,0)
"),1.0)</f>
        <v>1</v>
      </c>
    </row>
    <row r="176" ht="22.5" customHeight="1">
      <c r="A176" s="3">
        <v>46048.933425243056</v>
      </c>
      <c r="B176" s="5" t="s">
        <v>810</v>
      </c>
      <c r="C176" s="5" t="s">
        <v>811</v>
      </c>
      <c r="D176" s="4" t="s">
        <v>812</v>
      </c>
      <c r="E176" s="5" t="s">
        <v>207</v>
      </c>
      <c r="F176" s="5" t="s">
        <v>49</v>
      </c>
      <c r="G176" s="5" t="s">
        <v>813</v>
      </c>
      <c r="H176" s="5" t="s">
        <v>51</v>
      </c>
      <c r="I176" s="5" t="s">
        <v>52</v>
      </c>
      <c r="J176" s="5" t="s">
        <v>76</v>
      </c>
      <c r="K176" s="6" t="str">
        <f t="shared" si="1"/>
        <v>087884883282</v>
      </c>
      <c r="L176" s="6" t="str">
        <f>IFERROR(
VLOOKUP(
TRIM(
IF(ISNUMBER(FIND(",",E176)),
LEFT(E176,FIND(",",E176)-1),
E176
)
),
master!A:B,
2,
FALSE
),
"Belum ada mapping"
)
</f>
        <v>Jakarta</v>
      </c>
      <c r="M176" s="6">
        <f>IFERROR(__xludf.DUMMYFUNCTION("IF(REGEXMATCH(I176,""Cari Kerja""),1,0)
"),0.0)</f>
        <v>0</v>
      </c>
      <c r="N176" s="6">
        <f>IFERROR(__xludf.DUMMYFUNCTION("IF(REGEXMATCH(I176,""Upskill""),1,0)
"),1.0)</f>
        <v>1</v>
      </c>
      <c r="O176" s="6">
        <f>IFERROR(__xludf.DUMMYFUNCTION("IF(REGEXMATCH(I176,""Networking""),1,0)
"),1.0)</f>
        <v>1</v>
      </c>
      <c r="P176" s="6">
        <f>IFERROR(__xludf.DUMMYFUNCTION("IF(REGEXMATCH(I176,""Switch Career""),1,0)
"),1.0)</f>
        <v>1</v>
      </c>
    </row>
    <row r="177" ht="22.5" customHeight="1">
      <c r="A177" s="3">
        <v>46121.63179539352</v>
      </c>
      <c r="B177" s="5" t="s">
        <v>814</v>
      </c>
      <c r="C177" s="5" t="s">
        <v>815</v>
      </c>
      <c r="D177" s="4" t="s">
        <v>816</v>
      </c>
      <c r="E177" s="5" t="s">
        <v>817</v>
      </c>
      <c r="F177" s="5" t="s">
        <v>49</v>
      </c>
      <c r="G177" s="5" t="s">
        <v>818</v>
      </c>
      <c r="H177" s="5" t="s">
        <v>704</v>
      </c>
      <c r="I177" s="5" t="s">
        <v>13</v>
      </c>
      <c r="J177" s="5" t="s">
        <v>24</v>
      </c>
      <c r="K177" s="10" t="str">
        <f t="shared" si="1"/>
        <v>081274115101</v>
      </c>
      <c r="L177" s="10" t="str">
        <f>IFERROR(
VLOOKUP(
TRIM(
IF(ISNUMBER(FIND(",",E177)),
LEFT(E177,FIND(",",E177)-1),
E177
)
),
master!A:B,
2,
FALSE
),
"Belum ada mapping"
)
</f>
        <v>Kalimantan Timur</v>
      </c>
      <c r="M177" s="10">
        <f>IFERROR(__xludf.DUMMYFUNCTION("IF(REGEXMATCH(I177,""Cari Kerja""),1,0)
"),0.0)</f>
        <v>0</v>
      </c>
      <c r="N177" s="10">
        <f>IFERROR(__xludf.DUMMYFUNCTION("IF(REGEXMATCH(I177,""Upskill""),1,0)
"),1.0)</f>
        <v>1</v>
      </c>
      <c r="O177" s="10">
        <f>IFERROR(__xludf.DUMMYFUNCTION("IF(REGEXMATCH(I177,""Networking""),1,0)
"),0.0)</f>
        <v>0</v>
      </c>
      <c r="P177" s="10">
        <f>IFERROR(__xludf.DUMMYFUNCTION("IF(REGEXMATCH(I177,""Switch Career""),1,0)
"),0.0)</f>
        <v>0</v>
      </c>
    </row>
    <row r="178" ht="22.5" customHeight="1">
      <c r="A178" s="7">
        <v>46040.440205011575</v>
      </c>
      <c r="B178" s="8" t="s">
        <v>819</v>
      </c>
      <c r="C178" s="8" t="s">
        <v>820</v>
      </c>
      <c r="D178" s="9" t="s">
        <v>821</v>
      </c>
      <c r="E178" s="8" t="s">
        <v>443</v>
      </c>
      <c r="F178" s="8" t="s">
        <v>49</v>
      </c>
      <c r="G178" s="8" t="s">
        <v>69</v>
      </c>
      <c r="H178" s="8" t="s">
        <v>51</v>
      </c>
      <c r="I178" s="8" t="s">
        <v>15</v>
      </c>
      <c r="J178" s="8" t="s">
        <v>24</v>
      </c>
      <c r="K178" s="6" t="str">
        <f t="shared" si="1"/>
        <v>081338945247</v>
      </c>
      <c r="L178" s="6" t="str">
        <f>IFERROR(
VLOOKUP(
TRIM(
IF(ISNUMBER(FIND(",",E178)),
LEFT(E178,FIND(",",E178)-1),
E178
)
),
master!A:B,
2,
FALSE
),
"Belum ada mapping"
)
</f>
        <v>Jawa Tengah</v>
      </c>
      <c r="M178" s="6">
        <f>IFERROR(__xludf.DUMMYFUNCTION("IF(REGEXMATCH(I178,""Cari Kerja""),1,0)
"),0.0)</f>
        <v>0</v>
      </c>
      <c r="N178" s="6">
        <f>IFERROR(__xludf.DUMMYFUNCTION("IF(REGEXMATCH(I178,""Upskill""),1,0)
"),0.0)</f>
        <v>0</v>
      </c>
      <c r="O178" s="6">
        <f>IFERROR(__xludf.DUMMYFUNCTION("IF(REGEXMATCH(I178,""Networking""),1,0)
"),0.0)</f>
        <v>0</v>
      </c>
      <c r="P178" s="6">
        <f>IFERROR(__xludf.DUMMYFUNCTION("IF(REGEXMATCH(I178,""Switch Career""),1,0)
"),1.0)</f>
        <v>1</v>
      </c>
    </row>
    <row r="179" ht="22.5" customHeight="1">
      <c r="A179" s="7">
        <v>46040.346215439815</v>
      </c>
      <c r="B179" s="8" t="s">
        <v>822</v>
      </c>
      <c r="C179" s="8" t="s">
        <v>823</v>
      </c>
      <c r="D179" s="9" t="s">
        <v>824</v>
      </c>
      <c r="E179" s="8" t="s">
        <v>825</v>
      </c>
      <c r="F179" s="8" t="s">
        <v>20</v>
      </c>
      <c r="G179" s="8" t="s">
        <v>826</v>
      </c>
      <c r="H179" s="8" t="s">
        <v>153</v>
      </c>
      <c r="I179" s="8" t="s">
        <v>59</v>
      </c>
      <c r="J179" s="8" t="s">
        <v>24</v>
      </c>
      <c r="K179" s="6" t="str">
        <f t="shared" si="1"/>
        <v>081315339822</v>
      </c>
      <c r="L179" s="6" t="str">
        <f>IFERROR(
VLOOKUP(
TRIM(
IF(ISNUMBER(FIND(",",E179)),
LEFT(E179,FIND(",",E179)-1),
E179
)
),
master!A:B,
2,
FALSE
),
"Belum ada mapping"
)
</f>
        <v>Jawa Barat</v>
      </c>
      <c r="M179" s="6">
        <f>IFERROR(__xludf.DUMMYFUNCTION("IF(REGEXMATCH(I179,""Cari Kerja""),1,0)
"),0.0)</f>
        <v>0</v>
      </c>
      <c r="N179" s="6">
        <f>IFERROR(__xludf.DUMMYFUNCTION("IF(REGEXMATCH(I179,""Upskill""),1,0)
"),1.0)</f>
        <v>1</v>
      </c>
      <c r="O179" s="6">
        <f>IFERROR(__xludf.DUMMYFUNCTION("IF(REGEXMATCH(I179,""Networking""),1,0)
"),1.0)</f>
        <v>1</v>
      </c>
      <c r="P179" s="6">
        <f>IFERROR(__xludf.DUMMYFUNCTION("IF(REGEXMATCH(I179,""Switch Career""),1,0)
"),0.0)</f>
        <v>0</v>
      </c>
    </row>
    <row r="180" ht="22.5" customHeight="1">
      <c r="A180" s="7">
        <v>46040.35961063657</v>
      </c>
      <c r="B180" s="8" t="s">
        <v>827</v>
      </c>
      <c r="C180" s="8" t="s">
        <v>828</v>
      </c>
      <c r="D180" s="9" t="s">
        <v>829</v>
      </c>
      <c r="E180" s="8" t="s">
        <v>42</v>
      </c>
      <c r="F180" s="8" t="s">
        <v>49</v>
      </c>
      <c r="G180" s="8" t="s">
        <v>69</v>
      </c>
      <c r="H180" s="8" t="s">
        <v>51</v>
      </c>
      <c r="I180" s="8" t="s">
        <v>23</v>
      </c>
      <c r="J180" s="8" t="s">
        <v>24</v>
      </c>
      <c r="K180" s="6" t="str">
        <f t="shared" si="1"/>
        <v>0895604007272</v>
      </c>
      <c r="L180" s="6" t="str">
        <f>IFERROR(
VLOOKUP(
TRIM(
IF(ISNUMBER(FIND(",",E180)),
LEFT(E180,FIND(",",E180)-1),
E180
)
),
master!A:B,
2,
FALSE
),
"Belum ada mapping"
)
</f>
        <v>Jawa Barat</v>
      </c>
      <c r="M180" s="6">
        <f>IFERROR(__xludf.DUMMYFUNCTION("IF(REGEXMATCH(I180,""Cari Kerja""),1,0)
"),1.0)</f>
        <v>1</v>
      </c>
      <c r="N180" s="6">
        <f>IFERROR(__xludf.DUMMYFUNCTION("IF(REGEXMATCH(I180,""Upskill""),1,0)
"),1.0)</f>
        <v>1</v>
      </c>
      <c r="O180" s="6">
        <f>IFERROR(__xludf.DUMMYFUNCTION("IF(REGEXMATCH(I180,""Networking""),1,0)
"),1.0)</f>
        <v>1</v>
      </c>
      <c r="P180" s="6">
        <f>IFERROR(__xludf.DUMMYFUNCTION("IF(REGEXMATCH(I180,""Switch Career""),1,0)
"),0.0)</f>
        <v>0</v>
      </c>
    </row>
    <row r="181" ht="22.5" customHeight="1">
      <c r="A181" s="7">
        <v>46040.35452255787</v>
      </c>
      <c r="B181" s="8" t="s">
        <v>830</v>
      </c>
      <c r="C181" s="8" t="s">
        <v>831</v>
      </c>
      <c r="D181" s="9" t="s">
        <v>832</v>
      </c>
      <c r="E181" s="8" t="s">
        <v>833</v>
      </c>
      <c r="F181" s="8" t="s">
        <v>20</v>
      </c>
      <c r="G181" s="8" t="s">
        <v>21</v>
      </c>
      <c r="H181" s="8" t="s">
        <v>82</v>
      </c>
      <c r="I181" s="8" t="s">
        <v>59</v>
      </c>
      <c r="J181" s="8" t="s">
        <v>24</v>
      </c>
      <c r="K181" s="6" t="str">
        <f t="shared" si="1"/>
        <v>085664698289</v>
      </c>
      <c r="L181" s="6" t="str">
        <f>IFERROR(
VLOOKUP(
TRIM(
IF(ISNUMBER(FIND(",",E181)),
LEFT(E181,FIND(",",E181)-1),
E181
)
),
master!A:B,
2,
FALSE
),
"Belum ada mapping"
)
</f>
        <v>Bangka  Belitung</v>
      </c>
      <c r="M181" s="6">
        <f>IFERROR(__xludf.DUMMYFUNCTION("IF(REGEXMATCH(I181,""Cari Kerja""),1,0)
"),0.0)</f>
        <v>0</v>
      </c>
      <c r="N181" s="6">
        <f>IFERROR(__xludf.DUMMYFUNCTION("IF(REGEXMATCH(I181,""Upskill""),1,0)
"),1.0)</f>
        <v>1</v>
      </c>
      <c r="O181" s="6">
        <f>IFERROR(__xludf.DUMMYFUNCTION("IF(REGEXMATCH(I181,""Networking""),1,0)
"),1.0)</f>
        <v>1</v>
      </c>
      <c r="P181" s="6">
        <f>IFERROR(__xludf.DUMMYFUNCTION("IF(REGEXMATCH(I181,""Switch Career""),1,0)
"),0.0)</f>
        <v>0</v>
      </c>
    </row>
    <row r="182" ht="22.5" customHeight="1">
      <c r="A182" s="3">
        <v>46042.15946247685</v>
      </c>
      <c r="B182" s="5" t="s">
        <v>834</v>
      </c>
      <c r="C182" s="5" t="s">
        <v>835</v>
      </c>
      <c r="D182" s="4" t="s">
        <v>836</v>
      </c>
      <c r="E182" s="5" t="s">
        <v>837</v>
      </c>
      <c r="F182" s="5" t="s">
        <v>20</v>
      </c>
      <c r="G182" s="5" t="s">
        <v>69</v>
      </c>
      <c r="H182" s="5" t="s">
        <v>136</v>
      </c>
      <c r="I182" s="5" t="s">
        <v>130</v>
      </c>
      <c r="J182" s="5" t="s">
        <v>24</v>
      </c>
      <c r="K182" s="6" t="str">
        <f t="shared" si="1"/>
        <v>085721597198</v>
      </c>
      <c r="L182" s="6" t="str">
        <f>IFERROR(
VLOOKUP(
TRIM(
IF(ISNUMBER(FIND(",",E182)),
LEFT(E182,FIND(",",E182)-1),
E182
)
),
master!A:B,
2,
FALSE
),
"Belum ada mapping"
)
</f>
        <v>Jawa Barat</v>
      </c>
      <c r="M182" s="6">
        <f>IFERROR(__xludf.DUMMYFUNCTION("IF(REGEXMATCH(I182,""Cari Kerja""),1,0)
"),1.0)</f>
        <v>1</v>
      </c>
      <c r="N182" s="6">
        <f>IFERROR(__xludf.DUMMYFUNCTION("IF(REGEXMATCH(I182,""Upskill""),1,0)
"),1.0)</f>
        <v>1</v>
      </c>
      <c r="O182" s="6">
        <f>IFERROR(__xludf.DUMMYFUNCTION("IF(REGEXMATCH(I182,""Networking""),1,0)
"),0.0)</f>
        <v>0</v>
      </c>
      <c r="P182" s="6">
        <f>IFERROR(__xludf.DUMMYFUNCTION("IF(REGEXMATCH(I182,""Switch Career""),1,0)
"),0.0)</f>
        <v>0</v>
      </c>
    </row>
    <row r="183" ht="22.5" customHeight="1">
      <c r="A183" s="3">
        <v>46046.53788524306</v>
      </c>
      <c r="B183" s="5" t="s">
        <v>838</v>
      </c>
      <c r="C183" s="5" t="s">
        <v>839</v>
      </c>
      <c r="D183" s="4" t="s">
        <v>840</v>
      </c>
      <c r="E183" s="5" t="s">
        <v>35</v>
      </c>
      <c r="F183" s="5" t="s">
        <v>20</v>
      </c>
      <c r="G183" s="5" t="s">
        <v>841</v>
      </c>
      <c r="H183" s="5" t="s">
        <v>82</v>
      </c>
      <c r="I183" s="5" t="s">
        <v>23</v>
      </c>
      <c r="J183" s="5" t="s">
        <v>38</v>
      </c>
      <c r="K183" s="6" t="str">
        <f t="shared" si="1"/>
        <v>082140399150</v>
      </c>
      <c r="L183" s="6" t="str">
        <f>IFERROR(
VLOOKUP(
TRIM(
IF(ISNUMBER(FIND(",",E183)),
LEFT(E183,FIND(",",E183)-1),
E183
)
),
master!A:B,
2,
FALSE
),
"Belum ada mapping"
)
</f>
        <v>Jawa Timur</v>
      </c>
      <c r="M183" s="6">
        <f>IFERROR(__xludf.DUMMYFUNCTION("IF(REGEXMATCH(I183,""Cari Kerja""),1,0)
"),1.0)</f>
        <v>1</v>
      </c>
      <c r="N183" s="6">
        <f>IFERROR(__xludf.DUMMYFUNCTION("IF(REGEXMATCH(I183,""Upskill""),1,0)
"),1.0)</f>
        <v>1</v>
      </c>
      <c r="O183" s="6">
        <f>IFERROR(__xludf.DUMMYFUNCTION("IF(REGEXMATCH(I183,""Networking""),1,0)
"),1.0)</f>
        <v>1</v>
      </c>
      <c r="P183" s="6">
        <f>IFERROR(__xludf.DUMMYFUNCTION("IF(REGEXMATCH(I183,""Switch Career""),1,0)
"),0.0)</f>
        <v>0</v>
      </c>
    </row>
    <row r="184" ht="22.5" customHeight="1">
      <c r="A184" s="3">
        <v>46041.5242359375</v>
      </c>
      <c r="B184" s="5" t="s">
        <v>842</v>
      </c>
      <c r="C184" s="5" t="s">
        <v>843</v>
      </c>
      <c r="D184" s="4" t="s">
        <v>844</v>
      </c>
      <c r="E184" s="5" t="s">
        <v>565</v>
      </c>
      <c r="F184" s="5" t="s">
        <v>20</v>
      </c>
      <c r="G184" s="5" t="s">
        <v>845</v>
      </c>
      <c r="H184" s="5" t="s">
        <v>846</v>
      </c>
      <c r="I184" s="5" t="s">
        <v>31</v>
      </c>
      <c r="J184" s="5" t="s">
        <v>76</v>
      </c>
      <c r="K184" s="6" t="str">
        <f t="shared" si="1"/>
        <v>081371468594</v>
      </c>
      <c r="L184" s="6" t="str">
        <f>IFERROR(
VLOOKUP(
TRIM(
IF(ISNUMBER(FIND(",",E184)),
LEFT(E184,FIND(",",E184)-1),
E184
)
),
master!A:B,
2,
FALSE
),
"Belum ada mapping"
)
</f>
        <v>Riau</v>
      </c>
      <c r="M184" s="6">
        <f>IFERROR(__xludf.DUMMYFUNCTION("IF(REGEXMATCH(I184,""Cari Kerja""),1,0)
"),1.0)</f>
        <v>1</v>
      </c>
      <c r="N184" s="6">
        <f>IFERROR(__xludf.DUMMYFUNCTION("IF(REGEXMATCH(I184,""Upskill""),1,0)
"),1.0)</f>
        <v>1</v>
      </c>
      <c r="O184" s="6">
        <f>IFERROR(__xludf.DUMMYFUNCTION("IF(REGEXMATCH(I184,""Networking""),1,0)
"),1.0)</f>
        <v>1</v>
      </c>
      <c r="P184" s="6">
        <f>IFERROR(__xludf.DUMMYFUNCTION("IF(REGEXMATCH(I184,""Switch Career""),1,0)
"),1.0)</f>
        <v>1</v>
      </c>
    </row>
    <row r="185" ht="22.5" customHeight="1">
      <c r="A185" s="3">
        <v>46046.54658196759</v>
      </c>
      <c r="B185" s="5" t="s">
        <v>847</v>
      </c>
      <c r="C185" s="5" t="s">
        <v>848</v>
      </c>
      <c r="D185" s="4" t="s">
        <v>849</v>
      </c>
      <c r="E185" s="5" t="s">
        <v>92</v>
      </c>
      <c r="F185" s="5" t="s">
        <v>20</v>
      </c>
      <c r="G185" s="5" t="s">
        <v>69</v>
      </c>
      <c r="H185" s="5" t="s">
        <v>51</v>
      </c>
      <c r="I185" s="5" t="s">
        <v>12</v>
      </c>
      <c r="J185" s="5" t="s">
        <v>76</v>
      </c>
      <c r="K185" s="6" t="str">
        <f t="shared" si="1"/>
        <v>089528640636</v>
      </c>
      <c r="L185" s="6" t="str">
        <f>IFERROR(
VLOOKUP(
TRIM(
IF(ISNUMBER(FIND(",",E185)),
LEFT(E185,FIND(",",E185)-1),
E185
)
),
master!A:B,
2,
FALSE
),
"Belum ada mapping"
)
</f>
        <v>Jawa Barat</v>
      </c>
      <c r="M185" s="6">
        <f>IFERROR(__xludf.DUMMYFUNCTION("IF(REGEXMATCH(I185,""Cari Kerja""),1,0)
"),1.0)</f>
        <v>1</v>
      </c>
      <c r="N185" s="6">
        <f>IFERROR(__xludf.DUMMYFUNCTION("IF(REGEXMATCH(I185,""Upskill""),1,0)
"),0.0)</f>
        <v>0</v>
      </c>
      <c r="O185" s="6">
        <f>IFERROR(__xludf.DUMMYFUNCTION("IF(REGEXMATCH(I185,""Networking""),1,0)
"),0.0)</f>
        <v>0</v>
      </c>
      <c r="P185" s="6">
        <f>IFERROR(__xludf.DUMMYFUNCTION("IF(REGEXMATCH(I185,""Switch Career""),1,0)
"),0.0)</f>
        <v>0</v>
      </c>
    </row>
    <row r="186" ht="22.5" customHeight="1">
      <c r="A186" s="3">
        <v>46044.927689675926</v>
      </c>
      <c r="B186" s="5" t="s">
        <v>850</v>
      </c>
      <c r="C186" s="5" t="s">
        <v>851</v>
      </c>
      <c r="D186" s="4" t="s">
        <v>852</v>
      </c>
      <c r="E186" s="5" t="s">
        <v>42</v>
      </c>
      <c r="F186" s="5" t="s">
        <v>20</v>
      </c>
      <c r="G186" s="5" t="s">
        <v>853</v>
      </c>
      <c r="H186" s="5" t="s">
        <v>854</v>
      </c>
      <c r="I186" s="5" t="s">
        <v>130</v>
      </c>
      <c r="J186" s="5" t="s">
        <v>24</v>
      </c>
      <c r="K186" s="6" t="str">
        <f t="shared" si="1"/>
        <v>082125531148</v>
      </c>
      <c r="L186" s="6" t="str">
        <f>IFERROR(
VLOOKUP(
TRIM(
IF(ISNUMBER(FIND(",",E186)),
LEFT(E186,FIND(",",E186)-1),
E186
)
),
master!A:B,
2,
FALSE
),
"Belum ada mapping"
)
</f>
        <v>Jawa Barat</v>
      </c>
      <c r="M186" s="6">
        <f>IFERROR(__xludf.DUMMYFUNCTION("IF(REGEXMATCH(I186,""Cari Kerja""),1,0)
"),1.0)</f>
        <v>1</v>
      </c>
      <c r="N186" s="6">
        <f>IFERROR(__xludf.DUMMYFUNCTION("IF(REGEXMATCH(I186,""Upskill""),1,0)
"),1.0)</f>
        <v>1</v>
      </c>
      <c r="O186" s="6">
        <f>IFERROR(__xludf.DUMMYFUNCTION("IF(REGEXMATCH(I186,""Networking""),1,0)
"),0.0)</f>
        <v>0</v>
      </c>
      <c r="P186" s="6">
        <f>IFERROR(__xludf.DUMMYFUNCTION("IF(REGEXMATCH(I186,""Switch Career""),1,0)
"),0.0)</f>
        <v>0</v>
      </c>
    </row>
    <row r="187" ht="22.5" customHeight="1">
      <c r="A187" s="7">
        <v>46040.357097141205</v>
      </c>
      <c r="B187" s="8" t="s">
        <v>855</v>
      </c>
      <c r="C187" s="8" t="s">
        <v>856</v>
      </c>
      <c r="D187" s="9" t="s">
        <v>857</v>
      </c>
      <c r="E187" s="8" t="s">
        <v>92</v>
      </c>
      <c r="F187" s="8" t="s">
        <v>20</v>
      </c>
      <c r="G187" s="8" t="s">
        <v>858</v>
      </c>
      <c r="H187" s="8" t="s">
        <v>51</v>
      </c>
      <c r="I187" s="8" t="s">
        <v>23</v>
      </c>
      <c r="J187" s="8" t="s">
        <v>24</v>
      </c>
      <c r="K187" s="6" t="str">
        <f t="shared" si="1"/>
        <v>081270422055</v>
      </c>
      <c r="L187" s="6" t="str">
        <f>IFERROR(
VLOOKUP(
TRIM(
IF(ISNUMBER(FIND(",",E187)),
LEFT(E187,FIND(",",E187)-1),
E187
)
),
master!A:B,
2,
FALSE
),
"Belum ada mapping"
)
</f>
        <v>Jawa Barat</v>
      </c>
      <c r="M187" s="6">
        <f>IFERROR(__xludf.DUMMYFUNCTION("IF(REGEXMATCH(I187,""Cari Kerja""),1,0)
"),1.0)</f>
        <v>1</v>
      </c>
      <c r="N187" s="6">
        <f>IFERROR(__xludf.DUMMYFUNCTION("IF(REGEXMATCH(I187,""Upskill""),1,0)
"),1.0)</f>
        <v>1</v>
      </c>
      <c r="O187" s="6">
        <f>IFERROR(__xludf.DUMMYFUNCTION("IF(REGEXMATCH(I187,""Networking""),1,0)
"),1.0)</f>
        <v>1</v>
      </c>
      <c r="P187" s="6">
        <f>IFERROR(__xludf.DUMMYFUNCTION("IF(REGEXMATCH(I187,""Switch Career""),1,0)
"),0.0)</f>
        <v>0</v>
      </c>
    </row>
    <row r="188" ht="22.5" customHeight="1">
      <c r="A188" s="3">
        <v>46042.59485628472</v>
      </c>
      <c r="B188" s="5" t="s">
        <v>859</v>
      </c>
      <c r="C188" s="5" t="s">
        <v>860</v>
      </c>
      <c r="D188" s="4" t="s">
        <v>861</v>
      </c>
      <c r="E188" s="5" t="s">
        <v>207</v>
      </c>
      <c r="F188" s="5" t="s">
        <v>49</v>
      </c>
      <c r="G188" s="5" t="s">
        <v>862</v>
      </c>
      <c r="H188" s="5" t="s">
        <v>863</v>
      </c>
      <c r="I188" s="5" t="s">
        <v>31</v>
      </c>
      <c r="J188" s="5" t="s">
        <v>24</v>
      </c>
      <c r="K188" s="6" t="str">
        <f t="shared" si="1"/>
        <v>085747991768</v>
      </c>
      <c r="L188" s="6" t="str">
        <f>IFERROR(
VLOOKUP(
TRIM(
IF(ISNUMBER(FIND(",",E188)),
LEFT(E188,FIND(",",E188)-1),
E188
)
),
master!A:B,
2,
FALSE
),
"Belum ada mapping"
)
</f>
        <v>Jakarta</v>
      </c>
      <c r="M188" s="6">
        <f>IFERROR(__xludf.DUMMYFUNCTION("IF(REGEXMATCH(I188,""Cari Kerja""),1,0)
"),1.0)</f>
        <v>1</v>
      </c>
      <c r="N188" s="6">
        <f>IFERROR(__xludf.DUMMYFUNCTION("IF(REGEXMATCH(I188,""Upskill""),1,0)
"),1.0)</f>
        <v>1</v>
      </c>
      <c r="O188" s="6">
        <f>IFERROR(__xludf.DUMMYFUNCTION("IF(REGEXMATCH(I188,""Networking""),1,0)
"),1.0)</f>
        <v>1</v>
      </c>
      <c r="P188" s="6">
        <f>IFERROR(__xludf.DUMMYFUNCTION("IF(REGEXMATCH(I188,""Switch Career""),1,0)
"),1.0)</f>
        <v>1</v>
      </c>
    </row>
    <row r="189" ht="22.5" customHeight="1">
      <c r="A189" s="7">
        <v>46040.420910659726</v>
      </c>
      <c r="B189" s="8" t="s">
        <v>864</v>
      </c>
      <c r="C189" s="8" t="s">
        <v>865</v>
      </c>
      <c r="D189" s="9" t="s">
        <v>866</v>
      </c>
      <c r="E189" s="8" t="s">
        <v>385</v>
      </c>
      <c r="F189" s="8" t="s">
        <v>49</v>
      </c>
      <c r="G189" s="8" t="s">
        <v>867</v>
      </c>
      <c r="H189" s="8" t="s">
        <v>187</v>
      </c>
      <c r="I189" s="8" t="s">
        <v>52</v>
      </c>
      <c r="J189" s="8" t="s">
        <v>76</v>
      </c>
      <c r="K189" s="6" t="str">
        <f t="shared" si="1"/>
        <v>08115400468</v>
      </c>
      <c r="L189" s="6" t="str">
        <f>IFERROR(
VLOOKUP(
TRIM(
IF(ISNUMBER(FIND(",",E189)),
LEFT(E189,FIND(",",E189)-1),
E189
)
),
master!A:B,
2,
FALSE
),
"Belum ada mapping"
)
</f>
        <v>Kalimantan Timur</v>
      </c>
      <c r="M189" s="6">
        <f>IFERROR(__xludf.DUMMYFUNCTION("IF(REGEXMATCH(I189,""Cari Kerja""),1,0)
"),0.0)</f>
        <v>0</v>
      </c>
      <c r="N189" s="6">
        <f>IFERROR(__xludf.DUMMYFUNCTION("IF(REGEXMATCH(I189,""Upskill""),1,0)
"),1.0)</f>
        <v>1</v>
      </c>
      <c r="O189" s="6">
        <f>IFERROR(__xludf.DUMMYFUNCTION("IF(REGEXMATCH(I189,""Networking""),1,0)
"),1.0)</f>
        <v>1</v>
      </c>
      <c r="P189" s="6">
        <f>IFERROR(__xludf.DUMMYFUNCTION("IF(REGEXMATCH(I189,""Switch Career""),1,0)
"),1.0)</f>
        <v>1</v>
      </c>
    </row>
    <row r="190" ht="22.5" customHeight="1">
      <c r="A190" s="3">
        <v>46046.81654996528</v>
      </c>
      <c r="B190" s="5" t="s">
        <v>868</v>
      </c>
      <c r="C190" s="5" t="s">
        <v>869</v>
      </c>
      <c r="D190" s="4" t="s">
        <v>870</v>
      </c>
      <c r="E190" s="5" t="s">
        <v>158</v>
      </c>
      <c r="F190" s="5" t="s">
        <v>49</v>
      </c>
      <c r="G190" s="5" t="s">
        <v>871</v>
      </c>
      <c r="H190" s="5" t="s">
        <v>872</v>
      </c>
      <c r="I190" s="5" t="s">
        <v>154</v>
      </c>
      <c r="J190" s="5" t="s">
        <v>24</v>
      </c>
      <c r="K190" s="6" t="str">
        <f t="shared" si="1"/>
        <v>081268115101</v>
      </c>
      <c r="L190" s="6" t="str">
        <f>IFERROR(
VLOOKUP(
TRIM(
IF(ISNUMBER(FIND(",",E190)),
LEFT(E190,FIND(",",E190)-1),
E190
)
),
master!A:B,
2,
FALSE
),
"Belum ada mapping"
)
</f>
        <v>Jawa Barat</v>
      </c>
      <c r="M190" s="6">
        <f>IFERROR(__xludf.DUMMYFUNCTION("IF(REGEXMATCH(I190,""Cari Kerja""),1,0)
"),0.0)</f>
        <v>0</v>
      </c>
      <c r="N190" s="6">
        <f>IFERROR(__xludf.DUMMYFUNCTION("IF(REGEXMATCH(I190,""Upskill""),1,0)
"),1.0)</f>
        <v>1</v>
      </c>
      <c r="O190" s="6">
        <f>IFERROR(__xludf.DUMMYFUNCTION("IF(REGEXMATCH(I190,""Networking""),1,0)
"),0.0)</f>
        <v>0</v>
      </c>
      <c r="P190" s="6">
        <f>IFERROR(__xludf.DUMMYFUNCTION("IF(REGEXMATCH(I190,""Switch Career""),1,0)
"),1.0)</f>
        <v>1</v>
      </c>
    </row>
    <row r="191" ht="22.5" customHeight="1">
      <c r="A191" s="3">
        <v>46042.335064224535</v>
      </c>
      <c r="B191" s="5" t="s">
        <v>873</v>
      </c>
      <c r="C191" s="5" t="s">
        <v>874</v>
      </c>
      <c r="D191" s="4" t="s">
        <v>875</v>
      </c>
      <c r="E191" s="5" t="s">
        <v>596</v>
      </c>
      <c r="F191" s="5" t="s">
        <v>20</v>
      </c>
      <c r="G191" s="5" t="s">
        <v>69</v>
      </c>
      <c r="H191" s="5" t="s">
        <v>209</v>
      </c>
      <c r="I191" s="5" t="s">
        <v>31</v>
      </c>
      <c r="J191" s="5" t="s">
        <v>24</v>
      </c>
      <c r="K191" s="6" t="str">
        <f t="shared" si="1"/>
        <v>081217512674</v>
      </c>
      <c r="L191" s="6" t="str">
        <f>IFERROR(
VLOOKUP(
TRIM(
IF(ISNUMBER(FIND(",",E191)),
LEFT(E191,FIND(",",E191)-1),
E191
)
),
master!A:B,
2,
FALSE
),
"Belum ada mapping"
)
</f>
        <v>Jawa Timur</v>
      </c>
      <c r="M191" s="6">
        <f>IFERROR(__xludf.DUMMYFUNCTION("IF(REGEXMATCH(I191,""Cari Kerja""),1,0)
"),1.0)</f>
        <v>1</v>
      </c>
      <c r="N191" s="6">
        <f>IFERROR(__xludf.DUMMYFUNCTION("IF(REGEXMATCH(I191,""Upskill""),1,0)
"),1.0)</f>
        <v>1</v>
      </c>
      <c r="O191" s="6">
        <f>IFERROR(__xludf.DUMMYFUNCTION("IF(REGEXMATCH(I191,""Networking""),1,0)
"),1.0)</f>
        <v>1</v>
      </c>
      <c r="P191" s="6">
        <f>IFERROR(__xludf.DUMMYFUNCTION("IF(REGEXMATCH(I191,""Switch Career""),1,0)
"),1.0)</f>
        <v>1</v>
      </c>
    </row>
    <row r="192" ht="22.5" customHeight="1">
      <c r="A192" s="3">
        <v>46046.32273484954</v>
      </c>
      <c r="B192" s="5" t="s">
        <v>876</v>
      </c>
      <c r="C192" s="5" t="s">
        <v>877</v>
      </c>
      <c r="D192" s="4" t="s">
        <v>878</v>
      </c>
      <c r="E192" s="5" t="s">
        <v>74</v>
      </c>
      <c r="F192" s="5" t="s">
        <v>20</v>
      </c>
      <c r="G192" s="5" t="s">
        <v>879</v>
      </c>
      <c r="H192" s="5" t="s">
        <v>30</v>
      </c>
      <c r="I192" s="5" t="s">
        <v>15</v>
      </c>
      <c r="J192" s="5" t="s">
        <v>24</v>
      </c>
      <c r="K192" s="6" t="str">
        <f t="shared" si="1"/>
        <v>081383405097</v>
      </c>
      <c r="L192" s="6" t="str">
        <f>IFERROR(
VLOOKUP(
TRIM(
IF(ISNUMBER(FIND(",",E192)),
LEFT(E192,FIND(",",E192)-1),
E192
)
),
master!A:B,
2,
FALSE
),
"Belum ada mapping"
)
</f>
        <v>Banten</v>
      </c>
      <c r="M192" s="6">
        <f>IFERROR(__xludf.DUMMYFUNCTION("IF(REGEXMATCH(I192,""Cari Kerja""),1,0)
"),0.0)</f>
        <v>0</v>
      </c>
      <c r="N192" s="6">
        <f>IFERROR(__xludf.DUMMYFUNCTION("IF(REGEXMATCH(I192,""Upskill""),1,0)
"),0.0)</f>
        <v>0</v>
      </c>
      <c r="O192" s="6">
        <f>IFERROR(__xludf.DUMMYFUNCTION("IF(REGEXMATCH(I192,""Networking""),1,0)
"),0.0)</f>
        <v>0</v>
      </c>
      <c r="P192" s="6">
        <f>IFERROR(__xludf.DUMMYFUNCTION("IF(REGEXMATCH(I192,""Switch Career""),1,0)
"),1.0)</f>
        <v>1</v>
      </c>
    </row>
    <row r="193" ht="22.5" customHeight="1">
      <c r="A193" s="3">
        <v>46043.29108634259</v>
      </c>
      <c r="B193" s="5" t="s">
        <v>880</v>
      </c>
      <c r="C193" s="5" t="s">
        <v>881</v>
      </c>
      <c r="D193" s="4" t="s">
        <v>882</v>
      </c>
      <c r="E193" s="5" t="s">
        <v>48</v>
      </c>
      <c r="F193" s="5" t="s">
        <v>20</v>
      </c>
      <c r="G193" s="5" t="s">
        <v>883</v>
      </c>
      <c r="H193" s="5" t="s">
        <v>176</v>
      </c>
      <c r="I193" s="5" t="s">
        <v>235</v>
      </c>
      <c r="J193" s="5" t="s">
        <v>76</v>
      </c>
      <c r="K193" s="6" t="str">
        <f t="shared" si="1"/>
        <v>0882003314461</v>
      </c>
      <c r="L193" s="6" t="str">
        <f>IFERROR(
VLOOKUP(
TRIM(
IF(ISNUMBER(FIND(",",E193)),
LEFT(E193,FIND(",",E193)-1),
E193
)
),
master!A:B,
2,
FALSE
),
"Belum ada mapping"
)
</f>
        <v>DI Yogyakarta</v>
      </c>
      <c r="M193" s="6">
        <f>IFERROR(__xludf.DUMMYFUNCTION("IF(REGEXMATCH(I193,""Cari Kerja""),1,0)
"),1.0)</f>
        <v>1</v>
      </c>
      <c r="N193" s="6">
        <f>IFERROR(__xludf.DUMMYFUNCTION("IF(REGEXMATCH(I193,""Upskill""),1,0)
"),1.0)</f>
        <v>1</v>
      </c>
      <c r="O193" s="6">
        <f>IFERROR(__xludf.DUMMYFUNCTION("IF(REGEXMATCH(I193,""Networking""),1,0)
"),0.0)</f>
        <v>0</v>
      </c>
      <c r="P193" s="6">
        <f>IFERROR(__xludf.DUMMYFUNCTION("IF(REGEXMATCH(I193,""Switch Career""),1,0)
"),1.0)</f>
        <v>1</v>
      </c>
    </row>
    <row r="194" ht="22.5" customHeight="1">
      <c r="A194" s="7">
        <v>46040.933602731486</v>
      </c>
      <c r="B194" s="8" t="s">
        <v>884</v>
      </c>
      <c r="C194" s="8" t="s">
        <v>885</v>
      </c>
      <c r="D194" s="9" t="s">
        <v>886</v>
      </c>
      <c r="E194" s="8" t="s">
        <v>207</v>
      </c>
      <c r="F194" s="8" t="s">
        <v>49</v>
      </c>
      <c r="G194" s="8" t="s">
        <v>887</v>
      </c>
      <c r="H194" s="8" t="s">
        <v>315</v>
      </c>
      <c r="I194" s="8" t="s">
        <v>235</v>
      </c>
      <c r="J194" s="8" t="s">
        <v>24</v>
      </c>
      <c r="K194" s="6" t="str">
        <f t="shared" si="1"/>
        <v>089690757512</v>
      </c>
      <c r="L194" s="6" t="str">
        <f>IFERROR(
VLOOKUP(
TRIM(
IF(ISNUMBER(FIND(",",E194)),
LEFT(E194,FIND(",",E194)-1),
E194
)
),
master!A:B,
2,
FALSE
),
"Belum ada mapping"
)
</f>
        <v>Jakarta</v>
      </c>
      <c r="M194" s="6">
        <f>IFERROR(__xludf.DUMMYFUNCTION("IF(REGEXMATCH(I194,""Cari Kerja""),1,0)
"),1.0)</f>
        <v>1</v>
      </c>
      <c r="N194" s="6">
        <f>IFERROR(__xludf.DUMMYFUNCTION("IF(REGEXMATCH(I194,""Upskill""),1,0)
"),1.0)</f>
        <v>1</v>
      </c>
      <c r="O194" s="6">
        <f>IFERROR(__xludf.DUMMYFUNCTION("IF(REGEXMATCH(I194,""Networking""),1,0)
"),0.0)</f>
        <v>0</v>
      </c>
      <c r="P194" s="6">
        <f>IFERROR(__xludf.DUMMYFUNCTION("IF(REGEXMATCH(I194,""Switch Career""),1,0)
"),1.0)</f>
        <v>1</v>
      </c>
    </row>
    <row r="195" ht="22.5" customHeight="1">
      <c r="A195" s="3">
        <v>46042.386900763886</v>
      </c>
      <c r="B195" s="5" t="s">
        <v>888</v>
      </c>
      <c r="C195" s="5" t="s">
        <v>889</v>
      </c>
      <c r="D195" s="4" t="s">
        <v>890</v>
      </c>
      <c r="E195" s="5" t="s">
        <v>809</v>
      </c>
      <c r="F195" s="5" t="s">
        <v>20</v>
      </c>
      <c r="G195" s="5" t="s">
        <v>891</v>
      </c>
      <c r="H195" s="5" t="s">
        <v>892</v>
      </c>
      <c r="I195" s="5" t="s">
        <v>31</v>
      </c>
      <c r="J195" s="5" t="s">
        <v>24</v>
      </c>
      <c r="K195" s="6" t="str">
        <f t="shared" si="1"/>
        <v>082267077269</v>
      </c>
      <c r="L195" s="6" t="str">
        <f>IFERROR(
VLOOKUP(
TRIM(
IF(ISNUMBER(FIND(",",E195)),
LEFT(E195,FIND(",",E195)-1),
E195
)
),
master!A:B,
2,
FALSE
),
"Belum ada mapping"
)
</f>
        <v>Sumatera Utara</v>
      </c>
      <c r="M195" s="6">
        <f>IFERROR(__xludf.DUMMYFUNCTION("IF(REGEXMATCH(I195,""Cari Kerja""),1,0)
"),1.0)</f>
        <v>1</v>
      </c>
      <c r="N195" s="6">
        <f>IFERROR(__xludf.DUMMYFUNCTION("IF(REGEXMATCH(I195,""Upskill""),1,0)
"),1.0)</f>
        <v>1</v>
      </c>
      <c r="O195" s="6">
        <f>IFERROR(__xludf.DUMMYFUNCTION("IF(REGEXMATCH(I195,""Networking""),1,0)
"),1.0)</f>
        <v>1</v>
      </c>
      <c r="P195" s="6">
        <f>IFERROR(__xludf.DUMMYFUNCTION("IF(REGEXMATCH(I195,""Switch Career""),1,0)
"),1.0)</f>
        <v>1</v>
      </c>
    </row>
    <row r="196" ht="22.5" customHeight="1">
      <c r="A196" s="3">
        <v>46042.02263493056</v>
      </c>
      <c r="B196" s="5" t="s">
        <v>893</v>
      </c>
      <c r="C196" s="5" t="s">
        <v>894</v>
      </c>
      <c r="D196" s="4" t="s">
        <v>895</v>
      </c>
      <c r="E196" s="5" t="s">
        <v>80</v>
      </c>
      <c r="F196" s="5" t="s">
        <v>20</v>
      </c>
      <c r="G196" s="5" t="s">
        <v>896</v>
      </c>
      <c r="H196" s="5" t="s">
        <v>51</v>
      </c>
      <c r="I196" s="5" t="s">
        <v>109</v>
      </c>
      <c r="J196" s="5" t="s">
        <v>24</v>
      </c>
      <c r="K196" s="6" t="str">
        <f t="shared" si="1"/>
        <v>085162645547</v>
      </c>
      <c r="L196" s="6" t="str">
        <f>IFERROR(
VLOOKUP(
TRIM(
IF(ISNUMBER(FIND(",",E196)),
LEFT(E196,FIND(",",E196)-1),
E196
)
),
master!A:B,
2,
FALSE
),
"Belum ada mapping"
)
</f>
        <v>Jawa Timur</v>
      </c>
      <c r="M196" s="6">
        <f>IFERROR(__xludf.DUMMYFUNCTION("IF(REGEXMATCH(I196,""Cari Kerja""),1,0)
"),1.0)</f>
        <v>1</v>
      </c>
      <c r="N196" s="6">
        <f>IFERROR(__xludf.DUMMYFUNCTION("IF(REGEXMATCH(I196,""Upskill""),1,0)
"),0.0)</f>
        <v>0</v>
      </c>
      <c r="O196" s="6">
        <f>IFERROR(__xludf.DUMMYFUNCTION("IF(REGEXMATCH(I196,""Networking""),1,0)
"),1.0)</f>
        <v>1</v>
      </c>
      <c r="P196" s="6">
        <f>IFERROR(__xludf.DUMMYFUNCTION("IF(REGEXMATCH(I196,""Switch Career""),1,0)
"),0.0)</f>
        <v>0</v>
      </c>
    </row>
    <row r="197" ht="22.5" customHeight="1">
      <c r="A197" s="3">
        <v>46042.46455107639</v>
      </c>
      <c r="B197" s="5" t="s">
        <v>897</v>
      </c>
      <c r="C197" s="5" t="s">
        <v>898</v>
      </c>
      <c r="D197" s="4" t="s">
        <v>899</v>
      </c>
      <c r="E197" s="5" t="s">
        <v>48</v>
      </c>
      <c r="F197" s="5" t="s">
        <v>20</v>
      </c>
      <c r="G197" s="5" t="s">
        <v>900</v>
      </c>
      <c r="H197" s="5" t="s">
        <v>37</v>
      </c>
      <c r="I197" s="5" t="s">
        <v>13</v>
      </c>
      <c r="J197" s="5" t="s">
        <v>24</v>
      </c>
      <c r="K197" s="6" t="str">
        <f t="shared" si="1"/>
        <v>088233042193</v>
      </c>
      <c r="L197" s="6" t="str">
        <f>IFERROR(
VLOOKUP(
TRIM(
IF(ISNUMBER(FIND(",",E197)),
LEFT(E197,FIND(",",E197)-1),
E197
)
),
master!A:B,
2,
FALSE
),
"Belum ada mapping"
)
</f>
        <v>DI Yogyakarta</v>
      </c>
      <c r="M197" s="6">
        <f>IFERROR(__xludf.DUMMYFUNCTION("IF(REGEXMATCH(I197,""Cari Kerja""),1,0)
"),0.0)</f>
        <v>0</v>
      </c>
      <c r="N197" s="6">
        <f>IFERROR(__xludf.DUMMYFUNCTION("IF(REGEXMATCH(I197,""Upskill""),1,0)
"),1.0)</f>
        <v>1</v>
      </c>
      <c r="O197" s="6">
        <f>IFERROR(__xludf.DUMMYFUNCTION("IF(REGEXMATCH(I197,""Networking""),1,0)
"),0.0)</f>
        <v>0</v>
      </c>
      <c r="P197" s="6">
        <f>IFERROR(__xludf.DUMMYFUNCTION("IF(REGEXMATCH(I197,""Switch Career""),1,0)
"),0.0)</f>
        <v>0</v>
      </c>
    </row>
    <row r="198" ht="22.5" customHeight="1">
      <c r="A198" s="7">
        <v>46040.357504432875</v>
      </c>
      <c r="B198" s="8" t="s">
        <v>901</v>
      </c>
      <c r="C198" s="8" t="s">
        <v>902</v>
      </c>
      <c r="D198" s="9" t="s">
        <v>903</v>
      </c>
      <c r="E198" s="8" t="s">
        <v>904</v>
      </c>
      <c r="F198" s="8" t="s">
        <v>20</v>
      </c>
      <c r="G198" s="8" t="s">
        <v>69</v>
      </c>
      <c r="H198" s="8" t="s">
        <v>905</v>
      </c>
      <c r="I198" s="8" t="s">
        <v>59</v>
      </c>
      <c r="J198" s="8" t="s">
        <v>38</v>
      </c>
      <c r="K198" s="6" t="str">
        <f t="shared" si="1"/>
        <v>088216789251</v>
      </c>
      <c r="L198" s="6" t="str">
        <f>IFERROR(
VLOOKUP(
TRIM(
IF(ISNUMBER(FIND(",",E198)),
LEFT(E198,FIND(",",E198)-1),
E198
)
),
master!A:B,
2,
FALSE
),
"Belum ada mapping"
)
</f>
        <v>Jawa Tengah</v>
      </c>
      <c r="M198" s="6">
        <f>IFERROR(__xludf.DUMMYFUNCTION("IF(REGEXMATCH(I198,""Cari Kerja""),1,0)
"),0.0)</f>
        <v>0</v>
      </c>
      <c r="N198" s="6">
        <f>IFERROR(__xludf.DUMMYFUNCTION("IF(REGEXMATCH(I198,""Upskill""),1,0)
"),1.0)</f>
        <v>1</v>
      </c>
      <c r="O198" s="6">
        <f>IFERROR(__xludf.DUMMYFUNCTION("IF(REGEXMATCH(I198,""Networking""),1,0)
"),1.0)</f>
        <v>1</v>
      </c>
      <c r="P198" s="6">
        <f>IFERROR(__xludf.DUMMYFUNCTION("IF(REGEXMATCH(I198,""Switch Career""),1,0)
"),0.0)</f>
        <v>0</v>
      </c>
    </row>
    <row r="199" ht="22.5" customHeight="1">
      <c r="A199" s="3">
        <v>46058.318092824076</v>
      </c>
      <c r="B199" s="5" t="s">
        <v>906</v>
      </c>
      <c r="C199" s="5" t="s">
        <v>907</v>
      </c>
      <c r="D199" s="4" t="s">
        <v>908</v>
      </c>
      <c r="E199" s="5" t="s">
        <v>909</v>
      </c>
      <c r="F199" s="5" t="s">
        <v>20</v>
      </c>
      <c r="G199" s="5" t="s">
        <v>910</v>
      </c>
      <c r="H199" s="5" t="s">
        <v>51</v>
      </c>
      <c r="I199" s="5" t="s">
        <v>23</v>
      </c>
      <c r="J199" s="5" t="s">
        <v>24</v>
      </c>
      <c r="K199" s="10" t="str">
        <f t="shared" si="1"/>
        <v>087857184999</v>
      </c>
      <c r="L199" s="10" t="str">
        <f>IFERROR(
VLOOKUP(
TRIM(
IF(ISNUMBER(FIND(",",E199)),
LEFT(E199,FIND(",",E199)-1),
E199
)
),
master!A:B,
2,
FALSE
),
"Belum ada mapping"
)
</f>
        <v>Jawa Tengah</v>
      </c>
      <c r="M199" s="10">
        <f>IFERROR(__xludf.DUMMYFUNCTION("IF(REGEXMATCH(I199,""Cari Kerja""),1,0)
"),1.0)</f>
        <v>1</v>
      </c>
      <c r="N199" s="10">
        <f>IFERROR(__xludf.DUMMYFUNCTION("IF(REGEXMATCH(I199,""Upskill""),1,0)
"),1.0)</f>
        <v>1</v>
      </c>
      <c r="O199" s="10">
        <f>IFERROR(__xludf.DUMMYFUNCTION("IF(REGEXMATCH(I199,""Networking""),1,0)
"),1.0)</f>
        <v>1</v>
      </c>
      <c r="P199" s="10">
        <f>IFERROR(__xludf.DUMMYFUNCTION("IF(REGEXMATCH(I199,""Switch Career""),1,0)
"),0.0)</f>
        <v>0</v>
      </c>
    </row>
    <row r="200" ht="22.5" customHeight="1">
      <c r="A200" s="3">
        <v>46046.563785289356</v>
      </c>
      <c r="B200" s="5" t="s">
        <v>911</v>
      </c>
      <c r="C200" s="5" t="s">
        <v>912</v>
      </c>
      <c r="D200" s="4" t="s">
        <v>913</v>
      </c>
      <c r="E200" s="5" t="s">
        <v>551</v>
      </c>
      <c r="F200" s="5" t="s">
        <v>49</v>
      </c>
      <c r="G200" s="5" t="s">
        <v>914</v>
      </c>
      <c r="H200" s="5" t="s">
        <v>915</v>
      </c>
      <c r="I200" s="5" t="s">
        <v>59</v>
      </c>
      <c r="J200" s="5" t="s">
        <v>24</v>
      </c>
      <c r="K200" s="6" t="str">
        <f t="shared" si="1"/>
        <v>082260940002</v>
      </c>
      <c r="L200" s="6" t="str">
        <f>IFERROR(
VLOOKUP(
TRIM(
IF(ISNUMBER(FIND(",",E200)),
LEFT(E200,FIND(",",E200)-1),
E200
)
),
master!A:B,
2,
FALSE
),
"Belum ada mapping"
)
</f>
        <v>Jawa Barat</v>
      </c>
      <c r="M200" s="6">
        <f>IFERROR(__xludf.DUMMYFUNCTION("IF(REGEXMATCH(I200,""Cari Kerja""),1,0)
"),0.0)</f>
        <v>0</v>
      </c>
      <c r="N200" s="6">
        <f>IFERROR(__xludf.DUMMYFUNCTION("IF(REGEXMATCH(I200,""Upskill""),1,0)
"),1.0)</f>
        <v>1</v>
      </c>
      <c r="O200" s="6">
        <f>IFERROR(__xludf.DUMMYFUNCTION("IF(REGEXMATCH(I200,""Networking""),1,0)
"),1.0)</f>
        <v>1</v>
      </c>
      <c r="P200" s="6">
        <f>IFERROR(__xludf.DUMMYFUNCTION("IF(REGEXMATCH(I200,""Switch Career""),1,0)
"),0.0)</f>
        <v>0</v>
      </c>
    </row>
    <row r="201" ht="22.5" customHeight="1">
      <c r="A201" s="3">
        <v>46041.53080766204</v>
      </c>
      <c r="B201" s="5" t="s">
        <v>916</v>
      </c>
      <c r="C201" s="5" t="s">
        <v>917</v>
      </c>
      <c r="D201" s="4" t="s">
        <v>918</v>
      </c>
      <c r="E201" s="5" t="s">
        <v>207</v>
      </c>
      <c r="F201" s="5" t="s">
        <v>49</v>
      </c>
      <c r="G201" s="5" t="s">
        <v>919</v>
      </c>
      <c r="H201" s="5" t="s">
        <v>209</v>
      </c>
      <c r="I201" s="5" t="s">
        <v>31</v>
      </c>
      <c r="J201" s="5" t="s">
        <v>24</v>
      </c>
      <c r="K201" s="6" t="str">
        <f t="shared" si="1"/>
        <v>081223926414</v>
      </c>
      <c r="L201" s="6" t="str">
        <f>IFERROR(
VLOOKUP(
TRIM(
IF(ISNUMBER(FIND(",",E201)),
LEFT(E201,FIND(",",E201)-1),
E201
)
),
master!A:B,
2,
FALSE
),
"Belum ada mapping"
)
</f>
        <v>Jakarta</v>
      </c>
      <c r="M201" s="6">
        <f>IFERROR(__xludf.DUMMYFUNCTION("IF(REGEXMATCH(I201,""Cari Kerja""),1,0)
"),1.0)</f>
        <v>1</v>
      </c>
      <c r="N201" s="6">
        <f>IFERROR(__xludf.DUMMYFUNCTION("IF(REGEXMATCH(I201,""Upskill""),1,0)
"),1.0)</f>
        <v>1</v>
      </c>
      <c r="O201" s="6">
        <f>IFERROR(__xludf.DUMMYFUNCTION("IF(REGEXMATCH(I201,""Networking""),1,0)
"),1.0)</f>
        <v>1</v>
      </c>
      <c r="P201" s="6">
        <f>IFERROR(__xludf.DUMMYFUNCTION("IF(REGEXMATCH(I201,""Switch Career""),1,0)
"),1.0)</f>
        <v>1</v>
      </c>
    </row>
    <row r="202" ht="22.5" customHeight="1">
      <c r="A202" s="7">
        <v>46040.416713506944</v>
      </c>
      <c r="B202" s="8" t="s">
        <v>920</v>
      </c>
      <c r="C202" s="8" t="s">
        <v>921</v>
      </c>
      <c r="D202" s="9" t="s">
        <v>922</v>
      </c>
      <c r="E202" s="8" t="s">
        <v>151</v>
      </c>
      <c r="F202" s="8" t="s">
        <v>20</v>
      </c>
      <c r="G202" s="8" t="s">
        <v>923</v>
      </c>
      <c r="H202" s="8" t="s">
        <v>209</v>
      </c>
      <c r="I202" s="8" t="s">
        <v>13</v>
      </c>
      <c r="J202" s="8" t="s">
        <v>76</v>
      </c>
      <c r="K202" s="6" t="str">
        <f t="shared" si="1"/>
        <v>082390251474</v>
      </c>
      <c r="L202" s="6" t="str">
        <f>IFERROR(
VLOOKUP(
TRIM(
IF(ISNUMBER(FIND(",",E202)),
LEFT(E202,FIND(",",E202)-1),
E202
)
),
master!A:B,
2,
FALSE
),
"Belum ada mapping"
)
</f>
        <v>Riau</v>
      </c>
      <c r="M202" s="6">
        <f>IFERROR(__xludf.DUMMYFUNCTION("IF(REGEXMATCH(I202,""Cari Kerja""),1,0)
"),0.0)</f>
        <v>0</v>
      </c>
      <c r="N202" s="6">
        <f>IFERROR(__xludf.DUMMYFUNCTION("IF(REGEXMATCH(I202,""Upskill""),1,0)
"),1.0)</f>
        <v>1</v>
      </c>
      <c r="O202" s="6">
        <f>IFERROR(__xludf.DUMMYFUNCTION("IF(REGEXMATCH(I202,""Networking""),1,0)
"),0.0)</f>
        <v>0</v>
      </c>
      <c r="P202" s="6">
        <f>IFERROR(__xludf.DUMMYFUNCTION("IF(REGEXMATCH(I202,""Switch Career""),1,0)
"),0.0)</f>
        <v>0</v>
      </c>
    </row>
    <row r="203" ht="22.5" customHeight="1">
      <c r="A203" s="3">
        <v>46046.38124033565</v>
      </c>
      <c r="B203" s="5" t="s">
        <v>924</v>
      </c>
      <c r="C203" s="5" t="s">
        <v>925</v>
      </c>
      <c r="D203" s="4" t="s">
        <v>926</v>
      </c>
      <c r="E203" s="5" t="s">
        <v>207</v>
      </c>
      <c r="F203" s="5" t="s">
        <v>49</v>
      </c>
      <c r="G203" s="5" t="s">
        <v>927</v>
      </c>
      <c r="H203" s="5" t="s">
        <v>165</v>
      </c>
      <c r="I203" s="5" t="s">
        <v>453</v>
      </c>
      <c r="J203" s="5" t="s">
        <v>24</v>
      </c>
      <c r="K203" s="6" t="str">
        <f t="shared" si="1"/>
        <v>08977269027</v>
      </c>
      <c r="L203" s="6" t="str">
        <f>IFERROR(
VLOOKUP(
TRIM(
IF(ISNUMBER(FIND(",",E203)),
LEFT(E203,FIND(",",E203)-1),
E203
)
),
master!A:B,
2,
FALSE
),
"Belum ada mapping"
)
</f>
        <v>Jakarta</v>
      </c>
      <c r="M203" s="6">
        <f>IFERROR(__xludf.DUMMYFUNCTION("IF(REGEXMATCH(I203,""Cari Kerja""),1,0)
"),1.0)</f>
        <v>1</v>
      </c>
      <c r="N203" s="6">
        <f>IFERROR(__xludf.DUMMYFUNCTION("IF(REGEXMATCH(I203,""Upskill""),1,0)
"),0.0)</f>
        <v>0</v>
      </c>
      <c r="O203" s="6">
        <f>IFERROR(__xludf.DUMMYFUNCTION("IF(REGEXMATCH(I203,""Networking""),1,0)
"),1.0)</f>
        <v>1</v>
      </c>
      <c r="P203" s="6">
        <f>IFERROR(__xludf.DUMMYFUNCTION("IF(REGEXMATCH(I203,""Switch Career""),1,0)
"),1.0)</f>
        <v>1</v>
      </c>
    </row>
    <row r="204" ht="22.5" customHeight="1">
      <c r="A204" s="3">
        <v>46043.623267233794</v>
      </c>
      <c r="B204" s="5" t="s">
        <v>928</v>
      </c>
      <c r="C204" s="5" t="s">
        <v>929</v>
      </c>
      <c r="D204" s="4" t="s">
        <v>930</v>
      </c>
      <c r="E204" s="5" t="s">
        <v>174</v>
      </c>
      <c r="F204" s="5" t="s">
        <v>20</v>
      </c>
      <c r="G204" s="5" t="s">
        <v>931</v>
      </c>
      <c r="H204" s="5" t="s">
        <v>932</v>
      </c>
      <c r="I204" s="5" t="s">
        <v>12</v>
      </c>
      <c r="J204" s="5" t="s">
        <v>76</v>
      </c>
      <c r="K204" s="6" t="str">
        <f t="shared" si="1"/>
        <v>085765991971</v>
      </c>
      <c r="L204" s="6" t="str">
        <f>IFERROR(
VLOOKUP(
TRIM(
IF(ISNUMBER(FIND(",",E204)),
LEFT(E204,FIND(",",E204)-1),
E204
)
),
master!A:B,
2,
FALSE
),
"Belum ada mapping"
)
</f>
        <v>Jawa Timur</v>
      </c>
      <c r="M204" s="6">
        <f>IFERROR(__xludf.DUMMYFUNCTION("IF(REGEXMATCH(I204,""Cari Kerja""),1,0)
"),1.0)</f>
        <v>1</v>
      </c>
      <c r="N204" s="6">
        <f>IFERROR(__xludf.DUMMYFUNCTION("IF(REGEXMATCH(I204,""Upskill""),1,0)
"),0.0)</f>
        <v>0</v>
      </c>
      <c r="O204" s="6">
        <f>IFERROR(__xludf.DUMMYFUNCTION("IF(REGEXMATCH(I204,""Networking""),1,0)
"),0.0)</f>
        <v>0</v>
      </c>
      <c r="P204" s="6">
        <f>IFERROR(__xludf.DUMMYFUNCTION("IF(REGEXMATCH(I204,""Switch Career""),1,0)
"),0.0)</f>
        <v>0</v>
      </c>
    </row>
    <row r="205" ht="22.5" customHeight="1">
      <c r="A205" s="3">
        <v>46046.35319203704</v>
      </c>
      <c r="B205" s="5" t="s">
        <v>933</v>
      </c>
      <c r="C205" s="5" t="s">
        <v>934</v>
      </c>
      <c r="D205" s="4" t="s">
        <v>935</v>
      </c>
      <c r="E205" s="5" t="s">
        <v>276</v>
      </c>
      <c r="F205" s="5" t="s">
        <v>20</v>
      </c>
      <c r="G205" s="5" t="s">
        <v>267</v>
      </c>
      <c r="H205" s="5" t="s">
        <v>439</v>
      </c>
      <c r="I205" s="5" t="s">
        <v>130</v>
      </c>
      <c r="J205" s="5" t="s">
        <v>24</v>
      </c>
      <c r="K205" s="6" t="str">
        <f t="shared" si="1"/>
        <v>088238403652</v>
      </c>
      <c r="L205" s="6" t="str">
        <f>IFERROR(
VLOOKUP(
TRIM(
IF(ISNUMBER(FIND(",",E205)),
LEFT(E205,FIND(",",E205)-1),
E205
)
),
master!A:B,
2,
FALSE
),
"Belum ada mapping"
)
</f>
        <v>Jawa Timur</v>
      </c>
      <c r="M205" s="6">
        <f>IFERROR(__xludf.DUMMYFUNCTION("IF(REGEXMATCH(I205,""Cari Kerja""),1,0)
"),1.0)</f>
        <v>1</v>
      </c>
      <c r="N205" s="6">
        <f>IFERROR(__xludf.DUMMYFUNCTION("IF(REGEXMATCH(I205,""Upskill""),1,0)
"),1.0)</f>
        <v>1</v>
      </c>
      <c r="O205" s="6">
        <f>IFERROR(__xludf.DUMMYFUNCTION("IF(REGEXMATCH(I205,""Networking""),1,0)
"),0.0)</f>
        <v>0</v>
      </c>
      <c r="P205" s="6">
        <f>IFERROR(__xludf.DUMMYFUNCTION("IF(REGEXMATCH(I205,""Switch Career""),1,0)
"),0.0)</f>
        <v>0</v>
      </c>
    </row>
    <row r="206" ht="22.5" customHeight="1">
      <c r="A206" s="7">
        <v>46040.35445013889</v>
      </c>
      <c r="B206" s="8" t="s">
        <v>936</v>
      </c>
      <c r="C206" s="8" t="s">
        <v>937</v>
      </c>
      <c r="D206" s="9" t="s">
        <v>938</v>
      </c>
      <c r="E206" s="8" t="s">
        <v>939</v>
      </c>
      <c r="F206" s="8" t="s">
        <v>20</v>
      </c>
      <c r="G206" s="8" t="s">
        <v>940</v>
      </c>
      <c r="H206" s="8" t="s">
        <v>51</v>
      </c>
      <c r="I206" s="8" t="s">
        <v>31</v>
      </c>
      <c r="J206" s="8" t="s">
        <v>24</v>
      </c>
      <c r="K206" s="6" t="str">
        <f t="shared" si="1"/>
        <v>081295540385</v>
      </c>
      <c r="L206" s="6" t="str">
        <f>IFERROR(
VLOOKUP(
TRIM(
IF(ISNUMBER(FIND(",",E206)),
LEFT(E206,FIND(",",E206)-1),
E206
)
),
master!A:B,
2,
FALSE
),
"Belum ada mapping"
)
</f>
        <v>Banten</v>
      </c>
      <c r="M206" s="6">
        <f>IFERROR(__xludf.DUMMYFUNCTION("IF(REGEXMATCH(I206,""Cari Kerja""),1,0)
"),1.0)</f>
        <v>1</v>
      </c>
      <c r="N206" s="6">
        <f>IFERROR(__xludf.DUMMYFUNCTION("IF(REGEXMATCH(I206,""Upskill""),1,0)
"),1.0)</f>
        <v>1</v>
      </c>
      <c r="O206" s="6">
        <f>IFERROR(__xludf.DUMMYFUNCTION("IF(REGEXMATCH(I206,""Networking""),1,0)
"),1.0)</f>
        <v>1</v>
      </c>
      <c r="P206" s="6">
        <f>IFERROR(__xludf.DUMMYFUNCTION("IF(REGEXMATCH(I206,""Switch Career""),1,0)
"),1.0)</f>
        <v>1</v>
      </c>
    </row>
    <row r="207" ht="22.5" customHeight="1">
      <c r="A207" s="3">
        <v>46043.31570018519</v>
      </c>
      <c r="B207" s="5" t="s">
        <v>941</v>
      </c>
      <c r="C207" s="5" t="s">
        <v>942</v>
      </c>
      <c r="D207" s="4" t="s">
        <v>943</v>
      </c>
      <c r="E207" s="5" t="s">
        <v>944</v>
      </c>
      <c r="F207" s="5" t="s">
        <v>49</v>
      </c>
      <c r="G207" s="5" t="s">
        <v>945</v>
      </c>
      <c r="H207" s="5" t="s">
        <v>51</v>
      </c>
      <c r="I207" s="5" t="s">
        <v>31</v>
      </c>
      <c r="J207" s="5" t="s">
        <v>24</v>
      </c>
      <c r="K207" s="6" t="str">
        <f t="shared" si="1"/>
        <v>089644972743</v>
      </c>
      <c r="L207" s="6" t="str">
        <f>IFERROR(
VLOOKUP(
TRIM(
IF(ISNUMBER(FIND(",",E207)),
LEFT(E207,FIND(",",E207)-1),
E207
)
),
master!A:B,
2,
FALSE
),
"Belum ada mapping"
)
</f>
        <v>Bali</v>
      </c>
      <c r="M207" s="6">
        <f>IFERROR(__xludf.DUMMYFUNCTION("IF(REGEXMATCH(I207,""Cari Kerja""),1,0)
"),1.0)</f>
        <v>1</v>
      </c>
      <c r="N207" s="6">
        <f>IFERROR(__xludf.DUMMYFUNCTION("IF(REGEXMATCH(I207,""Upskill""),1,0)
"),1.0)</f>
        <v>1</v>
      </c>
      <c r="O207" s="6">
        <f>IFERROR(__xludf.DUMMYFUNCTION("IF(REGEXMATCH(I207,""Networking""),1,0)
"),1.0)</f>
        <v>1</v>
      </c>
      <c r="P207" s="6">
        <f>IFERROR(__xludf.DUMMYFUNCTION("IF(REGEXMATCH(I207,""Switch Career""),1,0)
"),1.0)</f>
        <v>1</v>
      </c>
    </row>
    <row r="208" ht="22.5" customHeight="1">
      <c r="A208" s="7">
        <v>46041.400573935185</v>
      </c>
      <c r="B208" s="8" t="s">
        <v>946</v>
      </c>
      <c r="C208" s="8" t="s">
        <v>947</v>
      </c>
      <c r="D208" s="9" t="s">
        <v>948</v>
      </c>
      <c r="E208" s="8" t="s">
        <v>409</v>
      </c>
      <c r="F208" s="8" t="s">
        <v>20</v>
      </c>
      <c r="G208" s="8" t="s">
        <v>949</v>
      </c>
      <c r="H208" s="8" t="s">
        <v>950</v>
      </c>
      <c r="I208" s="8" t="s">
        <v>130</v>
      </c>
      <c r="J208" s="8" t="s">
        <v>24</v>
      </c>
      <c r="K208" s="6" t="str">
        <f t="shared" si="1"/>
        <v>081336342077</v>
      </c>
      <c r="L208" s="6" t="str">
        <f>IFERROR(
VLOOKUP(
TRIM(
IF(ISNUMBER(FIND(",",E208)),
LEFT(E208,FIND(",",E208)-1),
E208
)
),
master!A:B,
2,
FALSE
),
"Belum ada mapping"
)
</f>
        <v>Jawa Tengah</v>
      </c>
      <c r="M208" s="6">
        <f>IFERROR(__xludf.DUMMYFUNCTION("IF(REGEXMATCH(I208,""Cari Kerja""),1,0)
"),1.0)</f>
        <v>1</v>
      </c>
      <c r="N208" s="6">
        <f>IFERROR(__xludf.DUMMYFUNCTION("IF(REGEXMATCH(I208,""Upskill""),1,0)
"),1.0)</f>
        <v>1</v>
      </c>
      <c r="O208" s="6">
        <f>IFERROR(__xludf.DUMMYFUNCTION("IF(REGEXMATCH(I208,""Networking""),1,0)
"),0.0)</f>
        <v>0</v>
      </c>
      <c r="P208" s="6">
        <f>IFERROR(__xludf.DUMMYFUNCTION("IF(REGEXMATCH(I208,""Switch Career""),1,0)
"),0.0)</f>
        <v>0</v>
      </c>
    </row>
    <row r="209" ht="22.5" customHeight="1">
      <c r="A209" s="7">
        <v>46041.40394984954</v>
      </c>
      <c r="B209" s="8" t="s">
        <v>951</v>
      </c>
      <c r="C209" s="8" t="s">
        <v>952</v>
      </c>
      <c r="D209" s="9" t="s">
        <v>953</v>
      </c>
      <c r="E209" s="8" t="s">
        <v>825</v>
      </c>
      <c r="F209" s="8" t="s">
        <v>49</v>
      </c>
      <c r="G209" s="8" t="s">
        <v>954</v>
      </c>
      <c r="H209" s="8" t="s">
        <v>955</v>
      </c>
      <c r="I209" s="8" t="s">
        <v>23</v>
      </c>
      <c r="J209" s="8" t="s">
        <v>24</v>
      </c>
      <c r="K209" s="6" t="str">
        <f t="shared" si="1"/>
        <v>081586986958</v>
      </c>
      <c r="L209" s="6" t="str">
        <f>IFERROR(
VLOOKUP(
TRIM(
IF(ISNUMBER(FIND(",",E209)),
LEFT(E209,FIND(",",E209)-1),
E209
)
),
master!A:B,
2,
FALSE
),
"Belum ada mapping"
)
</f>
        <v>Jawa Barat</v>
      </c>
      <c r="M209" s="6">
        <f>IFERROR(__xludf.DUMMYFUNCTION("IF(REGEXMATCH(I209,""Cari Kerja""),1,0)
"),1.0)</f>
        <v>1</v>
      </c>
      <c r="N209" s="6">
        <f>IFERROR(__xludf.DUMMYFUNCTION("IF(REGEXMATCH(I209,""Upskill""),1,0)
"),1.0)</f>
        <v>1</v>
      </c>
      <c r="O209" s="6">
        <f>IFERROR(__xludf.DUMMYFUNCTION("IF(REGEXMATCH(I209,""Networking""),1,0)
"),1.0)</f>
        <v>1</v>
      </c>
      <c r="P209" s="6">
        <f>IFERROR(__xludf.DUMMYFUNCTION("IF(REGEXMATCH(I209,""Switch Career""),1,0)
"),0.0)</f>
        <v>0</v>
      </c>
    </row>
    <row r="210" ht="22.5" customHeight="1">
      <c r="A210" s="7">
        <v>46040.3594825926</v>
      </c>
      <c r="B210" s="8" t="s">
        <v>956</v>
      </c>
      <c r="C210" s="8" t="s">
        <v>957</v>
      </c>
      <c r="D210" s="9" t="s">
        <v>958</v>
      </c>
      <c r="E210" s="8" t="s">
        <v>48</v>
      </c>
      <c r="F210" s="8" t="s">
        <v>20</v>
      </c>
      <c r="G210" s="8" t="s">
        <v>959</v>
      </c>
      <c r="H210" s="8" t="s">
        <v>170</v>
      </c>
      <c r="I210" s="8" t="s">
        <v>31</v>
      </c>
      <c r="J210" s="8" t="s">
        <v>24</v>
      </c>
      <c r="K210" s="6" t="str">
        <f t="shared" si="1"/>
        <v>085175361562</v>
      </c>
      <c r="L210" s="6" t="str">
        <f>IFERROR(
VLOOKUP(
TRIM(
IF(ISNUMBER(FIND(",",E210)),
LEFT(E210,FIND(",",E210)-1),
E210
)
),
master!A:B,
2,
FALSE
),
"Belum ada mapping"
)
</f>
        <v>DI Yogyakarta</v>
      </c>
      <c r="M210" s="6">
        <f>IFERROR(__xludf.DUMMYFUNCTION("IF(REGEXMATCH(I210,""Cari Kerja""),1,0)
"),1.0)</f>
        <v>1</v>
      </c>
      <c r="N210" s="6">
        <f>IFERROR(__xludf.DUMMYFUNCTION("IF(REGEXMATCH(I210,""Upskill""),1,0)
"),1.0)</f>
        <v>1</v>
      </c>
      <c r="O210" s="6">
        <f>IFERROR(__xludf.DUMMYFUNCTION("IF(REGEXMATCH(I210,""Networking""),1,0)
"),1.0)</f>
        <v>1</v>
      </c>
      <c r="P210" s="6">
        <f>IFERROR(__xludf.DUMMYFUNCTION("IF(REGEXMATCH(I210,""Switch Career""),1,0)
"),1.0)</f>
        <v>1</v>
      </c>
    </row>
    <row r="211" ht="22.5" customHeight="1">
      <c r="A211" s="3">
        <v>46064.44359984953</v>
      </c>
      <c r="B211" s="5" t="s">
        <v>960</v>
      </c>
      <c r="C211" s="5" t="s">
        <v>961</v>
      </c>
      <c r="D211" s="4" t="s">
        <v>962</v>
      </c>
      <c r="E211" s="5" t="s">
        <v>680</v>
      </c>
      <c r="F211" s="5" t="s">
        <v>49</v>
      </c>
      <c r="G211" s="5" t="s">
        <v>963</v>
      </c>
      <c r="H211" s="5" t="s">
        <v>651</v>
      </c>
      <c r="I211" s="5" t="s">
        <v>23</v>
      </c>
      <c r="J211" s="5" t="s">
        <v>38</v>
      </c>
      <c r="K211" s="10" t="str">
        <f t="shared" si="1"/>
        <v>081381005863</v>
      </c>
      <c r="L211" s="10" t="str">
        <f>IFERROR(
VLOOKUP(
TRIM(
IF(ISNUMBER(FIND(",",E211)),
LEFT(E211,FIND(",",E211)-1),
E211
)
),
master!A:B,
2,
FALSE
),
"Belum ada mapping"
)
</f>
        <v>Jawa Barat</v>
      </c>
      <c r="M211" s="10">
        <f>IFERROR(__xludf.DUMMYFUNCTION("IF(REGEXMATCH(I211,""Cari Kerja""),1,0)
"),1.0)</f>
        <v>1</v>
      </c>
      <c r="N211" s="10">
        <f>IFERROR(__xludf.DUMMYFUNCTION("IF(REGEXMATCH(I211,""Upskill""),1,0)
"),1.0)</f>
        <v>1</v>
      </c>
      <c r="O211" s="10">
        <f>IFERROR(__xludf.DUMMYFUNCTION("IF(REGEXMATCH(I211,""Networking""),1,0)
"),1.0)</f>
        <v>1</v>
      </c>
      <c r="P211" s="10">
        <f>IFERROR(__xludf.DUMMYFUNCTION("IF(REGEXMATCH(I211,""Switch Career""),1,0)
"),0.0)</f>
        <v>0</v>
      </c>
    </row>
    <row r="212" ht="22.5" customHeight="1">
      <c r="A212" s="7">
        <v>46040.42125457176</v>
      </c>
      <c r="B212" s="8" t="s">
        <v>964</v>
      </c>
      <c r="C212" s="8" t="s">
        <v>965</v>
      </c>
      <c r="D212" s="9" t="s">
        <v>966</v>
      </c>
      <c r="E212" s="8" t="s">
        <v>837</v>
      </c>
      <c r="F212" s="8" t="s">
        <v>20</v>
      </c>
      <c r="G212" s="8" t="s">
        <v>967</v>
      </c>
      <c r="H212" s="8" t="s">
        <v>278</v>
      </c>
      <c r="I212" s="8" t="s">
        <v>968</v>
      </c>
      <c r="J212" s="8" t="s">
        <v>24</v>
      </c>
      <c r="K212" s="6" t="str">
        <f t="shared" si="1"/>
        <v>08984552523</v>
      </c>
      <c r="L212" s="6" t="str">
        <f>IFERROR(
VLOOKUP(
TRIM(
IF(ISNUMBER(FIND(",",E212)),
LEFT(E212,FIND(",",E212)-1),
E212
)
),
master!A:B,
2,
FALSE
),
"Belum ada mapping"
)
</f>
        <v>Jawa Barat</v>
      </c>
      <c r="M212" s="6">
        <f>IFERROR(__xludf.DUMMYFUNCTION("IF(REGEXMATCH(I212,""Cari Kerja""),1,0)
"),1.0)</f>
        <v>1</v>
      </c>
      <c r="N212" s="6">
        <f>IFERROR(__xludf.DUMMYFUNCTION("IF(REGEXMATCH(I212,""Upskill""),1,0)
"),0.0)</f>
        <v>0</v>
      </c>
      <c r="O212" s="6">
        <f>IFERROR(__xludf.DUMMYFUNCTION("IF(REGEXMATCH(I212,""Networking""),1,0)
"),0.0)</f>
        <v>0</v>
      </c>
      <c r="P212" s="6">
        <f>IFERROR(__xludf.DUMMYFUNCTION("IF(REGEXMATCH(I212,""Switch Career""),1,0)
"),1.0)</f>
        <v>1</v>
      </c>
    </row>
    <row r="213" ht="22.5" customHeight="1">
      <c r="A213" s="3">
        <v>46042.42971319445</v>
      </c>
      <c r="B213" s="5" t="s">
        <v>969</v>
      </c>
      <c r="C213" s="5" t="s">
        <v>970</v>
      </c>
      <c r="D213" s="4" t="s">
        <v>971</v>
      </c>
      <c r="E213" s="5" t="s">
        <v>972</v>
      </c>
      <c r="F213" s="5" t="s">
        <v>20</v>
      </c>
      <c r="G213" s="5" t="s">
        <v>267</v>
      </c>
      <c r="H213" s="5" t="s">
        <v>582</v>
      </c>
      <c r="I213" s="5" t="s">
        <v>31</v>
      </c>
      <c r="J213" s="5" t="s">
        <v>24</v>
      </c>
      <c r="K213" s="6" t="str">
        <f t="shared" si="1"/>
        <v>0895335815985</v>
      </c>
      <c r="L213" s="6" t="str">
        <f>IFERROR(
VLOOKUP(
TRIM(
IF(ISNUMBER(FIND(",",E213)),
LEFT(E213,FIND(",",E213)-1),
E213
)
),
master!A:B,
2,
FALSE
),
"Belum ada mapping"
)
</f>
        <v>Jawa Barat</v>
      </c>
      <c r="M213" s="6">
        <f>IFERROR(__xludf.DUMMYFUNCTION("IF(REGEXMATCH(I213,""Cari Kerja""),1,0)
"),1.0)</f>
        <v>1</v>
      </c>
      <c r="N213" s="6">
        <f>IFERROR(__xludf.DUMMYFUNCTION("IF(REGEXMATCH(I213,""Upskill""),1,0)
"),1.0)</f>
        <v>1</v>
      </c>
      <c r="O213" s="6">
        <f>IFERROR(__xludf.DUMMYFUNCTION("IF(REGEXMATCH(I213,""Networking""),1,0)
"),1.0)</f>
        <v>1</v>
      </c>
      <c r="P213" s="6">
        <f>IFERROR(__xludf.DUMMYFUNCTION("IF(REGEXMATCH(I213,""Switch Career""),1,0)
"),1.0)</f>
        <v>1</v>
      </c>
    </row>
    <row r="214" ht="22.5" customHeight="1">
      <c r="A214" s="3">
        <v>46042.452223472224</v>
      </c>
      <c r="B214" s="5" t="s">
        <v>973</v>
      </c>
      <c r="C214" s="5" t="s">
        <v>974</v>
      </c>
      <c r="D214" s="4" t="s">
        <v>975</v>
      </c>
      <c r="E214" s="5" t="s">
        <v>42</v>
      </c>
      <c r="F214" s="5" t="s">
        <v>20</v>
      </c>
      <c r="G214" s="5" t="s">
        <v>976</v>
      </c>
      <c r="H214" s="5" t="s">
        <v>370</v>
      </c>
      <c r="I214" s="5" t="s">
        <v>23</v>
      </c>
      <c r="J214" s="5" t="s">
        <v>38</v>
      </c>
      <c r="K214" s="6" t="str">
        <f t="shared" si="1"/>
        <v>083874471144</v>
      </c>
      <c r="L214" s="6" t="str">
        <f>IFERROR(
VLOOKUP(
TRIM(
IF(ISNUMBER(FIND(",",E214)),
LEFT(E214,FIND(",",E214)-1),
E214
)
),
master!A:B,
2,
FALSE
),
"Belum ada mapping"
)
</f>
        <v>Jawa Barat</v>
      </c>
      <c r="M214" s="6">
        <f>IFERROR(__xludf.DUMMYFUNCTION("IF(REGEXMATCH(I214,""Cari Kerja""),1,0)
"),1.0)</f>
        <v>1</v>
      </c>
      <c r="N214" s="6">
        <f>IFERROR(__xludf.DUMMYFUNCTION("IF(REGEXMATCH(I214,""Upskill""),1,0)
"),1.0)</f>
        <v>1</v>
      </c>
      <c r="O214" s="6">
        <f>IFERROR(__xludf.DUMMYFUNCTION("IF(REGEXMATCH(I214,""Networking""),1,0)
"),1.0)</f>
        <v>1</v>
      </c>
      <c r="P214" s="6">
        <f>IFERROR(__xludf.DUMMYFUNCTION("IF(REGEXMATCH(I214,""Switch Career""),1,0)
"),0.0)</f>
        <v>0</v>
      </c>
    </row>
    <row r="215" ht="22.5" customHeight="1">
      <c r="A215" s="3">
        <v>46046.326489432875</v>
      </c>
      <c r="B215" s="5" t="s">
        <v>977</v>
      </c>
      <c r="C215" s="5" t="s">
        <v>978</v>
      </c>
      <c r="D215" s="4" t="s">
        <v>979</v>
      </c>
      <c r="E215" s="5" t="s">
        <v>207</v>
      </c>
      <c r="F215" s="5" t="s">
        <v>49</v>
      </c>
      <c r="G215" s="5" t="s">
        <v>980</v>
      </c>
      <c r="H215" s="5" t="s">
        <v>981</v>
      </c>
      <c r="I215" s="5" t="s">
        <v>31</v>
      </c>
      <c r="J215" s="5" t="s">
        <v>38</v>
      </c>
      <c r="K215" s="6" t="str">
        <f t="shared" si="1"/>
        <v>081293182643</v>
      </c>
      <c r="L215" s="6" t="str">
        <f>IFERROR(
VLOOKUP(
TRIM(
IF(ISNUMBER(FIND(",",E215)),
LEFT(E215,FIND(",",E215)-1),
E215
)
),
master!A:B,
2,
FALSE
),
"Belum ada mapping"
)
</f>
        <v>Jakarta</v>
      </c>
      <c r="M215" s="6">
        <f>IFERROR(__xludf.DUMMYFUNCTION("IF(REGEXMATCH(I215,""Cari Kerja""),1,0)
"),1.0)</f>
        <v>1</v>
      </c>
      <c r="N215" s="6">
        <f>IFERROR(__xludf.DUMMYFUNCTION("IF(REGEXMATCH(I215,""Upskill""),1,0)
"),1.0)</f>
        <v>1</v>
      </c>
      <c r="O215" s="6">
        <f>IFERROR(__xludf.DUMMYFUNCTION("IF(REGEXMATCH(I215,""Networking""),1,0)
"),1.0)</f>
        <v>1</v>
      </c>
      <c r="P215" s="6">
        <f>IFERROR(__xludf.DUMMYFUNCTION("IF(REGEXMATCH(I215,""Switch Career""),1,0)
"),1.0)</f>
        <v>1</v>
      </c>
    </row>
    <row r="216" ht="22.5" customHeight="1">
      <c r="A216" s="7">
        <v>46040.359564004626</v>
      </c>
      <c r="B216" s="8" t="s">
        <v>982</v>
      </c>
      <c r="C216" s="8" t="s">
        <v>983</v>
      </c>
      <c r="D216" s="9" t="s">
        <v>984</v>
      </c>
      <c r="E216" s="8" t="s">
        <v>443</v>
      </c>
      <c r="F216" s="8" t="s">
        <v>20</v>
      </c>
      <c r="G216" s="8" t="s">
        <v>21</v>
      </c>
      <c r="H216" s="8" t="s">
        <v>51</v>
      </c>
      <c r="I216" s="8" t="s">
        <v>23</v>
      </c>
      <c r="J216" s="8" t="s">
        <v>24</v>
      </c>
      <c r="K216" s="6" t="str">
        <f t="shared" si="1"/>
        <v>085878361575</v>
      </c>
      <c r="L216" s="6" t="str">
        <f>IFERROR(
VLOOKUP(
TRIM(
IF(ISNUMBER(FIND(",",E216)),
LEFT(E216,FIND(",",E216)-1),
E216
)
),
master!A:B,
2,
FALSE
),
"Belum ada mapping"
)
</f>
        <v>Jawa Tengah</v>
      </c>
      <c r="M216" s="6">
        <f>IFERROR(__xludf.DUMMYFUNCTION("IF(REGEXMATCH(I216,""Cari Kerja""),1,0)
"),1.0)</f>
        <v>1</v>
      </c>
      <c r="N216" s="6">
        <f>IFERROR(__xludf.DUMMYFUNCTION("IF(REGEXMATCH(I216,""Upskill""),1,0)
"),1.0)</f>
        <v>1</v>
      </c>
      <c r="O216" s="6">
        <f>IFERROR(__xludf.DUMMYFUNCTION("IF(REGEXMATCH(I216,""Networking""),1,0)
"),1.0)</f>
        <v>1</v>
      </c>
      <c r="P216" s="6">
        <f>IFERROR(__xludf.DUMMYFUNCTION("IF(REGEXMATCH(I216,""Switch Career""),1,0)
"),0.0)</f>
        <v>0</v>
      </c>
    </row>
    <row r="217" ht="22.5" customHeight="1">
      <c r="A217" s="3">
        <v>46042.40737025463</v>
      </c>
      <c r="B217" s="5" t="s">
        <v>985</v>
      </c>
      <c r="C217" s="5" t="s">
        <v>986</v>
      </c>
      <c r="D217" s="4" t="s">
        <v>987</v>
      </c>
      <c r="E217" s="5" t="s">
        <v>158</v>
      </c>
      <c r="F217" s="5" t="s">
        <v>20</v>
      </c>
      <c r="G217" s="5" t="s">
        <v>988</v>
      </c>
      <c r="H217" s="5" t="s">
        <v>51</v>
      </c>
      <c r="I217" s="5" t="s">
        <v>31</v>
      </c>
      <c r="J217" s="5" t="s">
        <v>24</v>
      </c>
      <c r="K217" s="6" t="str">
        <f t="shared" si="1"/>
        <v>089669333616</v>
      </c>
      <c r="L217" s="6" t="str">
        <f>IFERROR(
VLOOKUP(
TRIM(
IF(ISNUMBER(FIND(",",E217)),
LEFT(E217,FIND(",",E217)-1),
E217
)
),
master!A:B,
2,
FALSE
),
"Belum ada mapping"
)
</f>
        <v>Jawa Barat</v>
      </c>
      <c r="M217" s="6">
        <f>IFERROR(__xludf.DUMMYFUNCTION("IF(REGEXMATCH(I217,""Cari Kerja""),1,0)
"),1.0)</f>
        <v>1</v>
      </c>
      <c r="N217" s="6">
        <f>IFERROR(__xludf.DUMMYFUNCTION("IF(REGEXMATCH(I217,""Upskill""),1,0)
"),1.0)</f>
        <v>1</v>
      </c>
      <c r="O217" s="6">
        <f>IFERROR(__xludf.DUMMYFUNCTION("IF(REGEXMATCH(I217,""Networking""),1,0)
"),1.0)</f>
        <v>1</v>
      </c>
      <c r="P217" s="6">
        <f>IFERROR(__xludf.DUMMYFUNCTION("IF(REGEXMATCH(I217,""Switch Career""),1,0)
"),1.0)</f>
        <v>1</v>
      </c>
    </row>
    <row r="218" ht="22.5" customHeight="1">
      <c r="A218" s="3">
        <v>46044.42450462963</v>
      </c>
      <c r="B218" s="5" t="s">
        <v>985</v>
      </c>
      <c r="C218" s="5" t="s">
        <v>986</v>
      </c>
      <c r="D218" s="4" t="s">
        <v>987</v>
      </c>
      <c r="E218" s="5" t="s">
        <v>158</v>
      </c>
      <c r="F218" s="5" t="s">
        <v>20</v>
      </c>
      <c r="G218" s="5" t="s">
        <v>989</v>
      </c>
      <c r="H218" s="5" t="s">
        <v>51</v>
      </c>
      <c r="I218" s="5" t="s">
        <v>31</v>
      </c>
      <c r="J218" s="5" t="s">
        <v>24</v>
      </c>
      <c r="K218" s="6" t="str">
        <f t="shared" si="1"/>
        <v>089669333616</v>
      </c>
      <c r="L218" s="6" t="str">
        <f>IFERROR(
VLOOKUP(
TRIM(
IF(ISNUMBER(FIND(",",E218)),
LEFT(E218,FIND(",",E218)-1),
E218
)
),
master!A:B,
2,
FALSE
),
"Belum ada mapping"
)
</f>
        <v>Jawa Barat</v>
      </c>
      <c r="M218" s="6">
        <f>IFERROR(__xludf.DUMMYFUNCTION("IF(REGEXMATCH(I218,""Cari Kerja""),1,0)
"),1.0)</f>
        <v>1</v>
      </c>
      <c r="N218" s="6">
        <f>IFERROR(__xludf.DUMMYFUNCTION("IF(REGEXMATCH(I218,""Upskill""),1,0)
"),1.0)</f>
        <v>1</v>
      </c>
      <c r="O218" s="6">
        <f>IFERROR(__xludf.DUMMYFUNCTION("IF(REGEXMATCH(I218,""Networking""),1,0)
"),1.0)</f>
        <v>1</v>
      </c>
      <c r="P218" s="6">
        <f>IFERROR(__xludf.DUMMYFUNCTION("IF(REGEXMATCH(I218,""Switch Career""),1,0)
"),1.0)</f>
        <v>1</v>
      </c>
    </row>
    <row r="219" ht="22.5" customHeight="1">
      <c r="A219" s="3">
        <v>46044.40759133102</v>
      </c>
      <c r="B219" s="5" t="s">
        <v>990</v>
      </c>
      <c r="C219" s="5" t="s">
        <v>991</v>
      </c>
      <c r="D219" s="5" t="s">
        <v>992</v>
      </c>
      <c r="E219" s="5" t="s">
        <v>134</v>
      </c>
      <c r="F219" s="5" t="s">
        <v>20</v>
      </c>
      <c r="G219" s="5" t="s">
        <v>993</v>
      </c>
      <c r="H219" s="5" t="s">
        <v>176</v>
      </c>
      <c r="I219" s="5" t="s">
        <v>13</v>
      </c>
      <c r="J219" s="5" t="s">
        <v>24</v>
      </c>
      <c r="K219" s="6" t="str">
        <f t="shared" si="1"/>
        <v>0858-2458-8225 </v>
      </c>
      <c r="L219" s="6" t="str">
        <f>IFERROR(
VLOOKUP(
TRIM(
IF(ISNUMBER(FIND(",",E219)),
LEFT(E219,FIND(",",E219)-1),
E219
)
),
master!A:B,
2,
FALSE
),
"Belum ada mapping"
)
</f>
        <v>Jawa Barat</v>
      </c>
      <c r="M219" s="6">
        <f>IFERROR(__xludf.DUMMYFUNCTION("IF(REGEXMATCH(I219,""Cari Kerja""),1,0)
"),0.0)</f>
        <v>0</v>
      </c>
      <c r="N219" s="6">
        <f>IFERROR(__xludf.DUMMYFUNCTION("IF(REGEXMATCH(I219,""Upskill""),1,0)
"),1.0)</f>
        <v>1</v>
      </c>
      <c r="O219" s="6">
        <f>IFERROR(__xludf.DUMMYFUNCTION("IF(REGEXMATCH(I219,""Networking""),1,0)
"),0.0)</f>
        <v>0</v>
      </c>
      <c r="P219" s="6">
        <f>IFERROR(__xludf.DUMMYFUNCTION("IF(REGEXMATCH(I219,""Switch Career""),1,0)
"),0.0)</f>
        <v>0</v>
      </c>
    </row>
    <row r="220" ht="22.5" customHeight="1">
      <c r="A220" s="3">
        <v>46046.32184333334</v>
      </c>
      <c r="B220" s="5" t="s">
        <v>994</v>
      </c>
      <c r="C220" s="5" t="s">
        <v>995</v>
      </c>
      <c r="D220" s="4" t="s">
        <v>996</v>
      </c>
      <c r="E220" s="5" t="s">
        <v>74</v>
      </c>
      <c r="F220" s="5" t="s">
        <v>20</v>
      </c>
      <c r="G220" s="5" t="s">
        <v>997</v>
      </c>
      <c r="H220" s="5" t="s">
        <v>998</v>
      </c>
      <c r="I220" s="5" t="s">
        <v>13</v>
      </c>
      <c r="J220" s="5" t="s">
        <v>76</v>
      </c>
      <c r="K220" s="6" t="str">
        <f t="shared" si="1"/>
        <v>089523013056</v>
      </c>
      <c r="L220" s="6" t="str">
        <f>IFERROR(
VLOOKUP(
TRIM(
IF(ISNUMBER(FIND(",",E220)),
LEFT(E220,FIND(",",E220)-1),
E220
)
),
master!A:B,
2,
FALSE
),
"Belum ada mapping"
)
</f>
        <v>Banten</v>
      </c>
      <c r="M220" s="6">
        <f>IFERROR(__xludf.DUMMYFUNCTION("IF(REGEXMATCH(I220,""Cari Kerja""),1,0)
"),0.0)</f>
        <v>0</v>
      </c>
      <c r="N220" s="6">
        <f>IFERROR(__xludf.DUMMYFUNCTION("IF(REGEXMATCH(I220,""Upskill""),1,0)
"),1.0)</f>
        <v>1</v>
      </c>
      <c r="O220" s="6">
        <f>IFERROR(__xludf.DUMMYFUNCTION("IF(REGEXMATCH(I220,""Networking""),1,0)
"),0.0)</f>
        <v>0</v>
      </c>
      <c r="P220" s="6">
        <f>IFERROR(__xludf.DUMMYFUNCTION("IF(REGEXMATCH(I220,""Switch Career""),1,0)
"),0.0)</f>
        <v>0</v>
      </c>
    </row>
    <row r="221" ht="22.5" customHeight="1">
      <c r="A221" s="3">
        <v>46045.484472638884</v>
      </c>
      <c r="B221" s="5" t="s">
        <v>999</v>
      </c>
      <c r="C221" s="5" t="s">
        <v>1000</v>
      </c>
      <c r="D221" s="4" t="s">
        <v>1001</v>
      </c>
      <c r="E221" s="5" t="s">
        <v>92</v>
      </c>
      <c r="F221" s="5" t="s">
        <v>49</v>
      </c>
      <c r="G221" s="5" t="s">
        <v>1002</v>
      </c>
      <c r="H221" s="5" t="s">
        <v>1003</v>
      </c>
      <c r="I221" s="5" t="s">
        <v>59</v>
      </c>
      <c r="J221" s="5" t="s">
        <v>24</v>
      </c>
      <c r="K221" s="6" t="str">
        <f t="shared" si="1"/>
        <v>085946055386</v>
      </c>
      <c r="L221" s="6" t="str">
        <f>IFERROR(
VLOOKUP(
TRIM(
IF(ISNUMBER(FIND(",",E221)),
LEFT(E221,FIND(",",E221)-1),
E221
)
),
master!A:B,
2,
FALSE
),
"Belum ada mapping"
)
</f>
        <v>Jawa Barat</v>
      </c>
      <c r="M221" s="6">
        <f>IFERROR(__xludf.DUMMYFUNCTION("IF(REGEXMATCH(I221,""Cari Kerja""),1,0)
"),0.0)</f>
        <v>0</v>
      </c>
      <c r="N221" s="6">
        <f>IFERROR(__xludf.DUMMYFUNCTION("IF(REGEXMATCH(I221,""Upskill""),1,0)
"),1.0)</f>
        <v>1</v>
      </c>
      <c r="O221" s="6">
        <f>IFERROR(__xludf.DUMMYFUNCTION("IF(REGEXMATCH(I221,""Networking""),1,0)
"),1.0)</f>
        <v>1</v>
      </c>
      <c r="P221" s="6">
        <f>IFERROR(__xludf.DUMMYFUNCTION("IF(REGEXMATCH(I221,""Switch Career""),1,0)
"),0.0)</f>
        <v>0</v>
      </c>
    </row>
    <row r="222" ht="22.5" customHeight="1">
      <c r="A222" s="3">
        <v>46064.461204548614</v>
      </c>
      <c r="B222" s="5" t="s">
        <v>1004</v>
      </c>
      <c r="C222" s="5" t="s">
        <v>1000</v>
      </c>
      <c r="D222" s="4" t="s">
        <v>1001</v>
      </c>
      <c r="E222" s="5" t="s">
        <v>92</v>
      </c>
      <c r="F222" s="5" t="s">
        <v>49</v>
      </c>
      <c r="G222" s="5" t="s">
        <v>1005</v>
      </c>
      <c r="H222" s="5" t="s">
        <v>1006</v>
      </c>
      <c r="I222" s="5" t="s">
        <v>109</v>
      </c>
      <c r="J222" s="5" t="s">
        <v>24</v>
      </c>
      <c r="K222" s="10" t="str">
        <f t="shared" si="1"/>
        <v>085946055386</v>
      </c>
      <c r="L222" s="10" t="str">
        <f>IFERROR(
VLOOKUP(
TRIM(
IF(ISNUMBER(FIND(",",E222)),
LEFT(E222,FIND(",",E222)-1),
E222
)
),
master!A:B,
2,
FALSE
),
"Belum ada mapping"
)
</f>
        <v>Jawa Barat</v>
      </c>
      <c r="M222" s="10">
        <f>IFERROR(__xludf.DUMMYFUNCTION("IF(REGEXMATCH(I222,""Cari Kerja""),1,0)
"),1.0)</f>
        <v>1</v>
      </c>
      <c r="N222" s="10">
        <f>IFERROR(__xludf.DUMMYFUNCTION("IF(REGEXMATCH(I222,""Upskill""),1,0)
"),0.0)</f>
        <v>0</v>
      </c>
      <c r="O222" s="10">
        <f>IFERROR(__xludf.DUMMYFUNCTION("IF(REGEXMATCH(I222,""Networking""),1,0)
"),1.0)</f>
        <v>1</v>
      </c>
      <c r="P222" s="10">
        <f>IFERROR(__xludf.DUMMYFUNCTION("IF(REGEXMATCH(I222,""Switch Career""),1,0)
"),0.0)</f>
        <v>0</v>
      </c>
    </row>
    <row r="223" ht="22.5" customHeight="1">
      <c r="A223" s="3">
        <v>46064.581452314815</v>
      </c>
      <c r="B223" s="5" t="s">
        <v>1007</v>
      </c>
      <c r="C223" s="5" t="s">
        <v>1008</v>
      </c>
      <c r="D223" s="4" t="s">
        <v>1009</v>
      </c>
      <c r="E223" s="5" t="s">
        <v>1010</v>
      </c>
      <c r="F223" s="5" t="s">
        <v>20</v>
      </c>
      <c r="G223" s="5" t="s">
        <v>1011</v>
      </c>
      <c r="H223" s="5" t="s">
        <v>82</v>
      </c>
      <c r="I223" s="5" t="s">
        <v>59</v>
      </c>
      <c r="J223" s="5" t="s">
        <v>38</v>
      </c>
      <c r="K223" s="10" t="str">
        <f t="shared" si="1"/>
        <v>08128922205</v>
      </c>
      <c r="L223" s="10" t="str">
        <f>IFERROR(
VLOOKUP(
TRIM(
IF(ISNUMBER(FIND(",",E223)),
LEFT(E223,FIND(",",E223)-1),
E223
)
),
master!A:B,
2,
FALSE
),
"Belum ada mapping"
)
</f>
        <v>Jawa Barat</v>
      </c>
      <c r="M223" s="10">
        <f>IFERROR(__xludf.DUMMYFUNCTION("IF(REGEXMATCH(I223,""Cari Kerja""),1,0)
"),0.0)</f>
        <v>0</v>
      </c>
      <c r="N223" s="10">
        <f>IFERROR(__xludf.DUMMYFUNCTION("IF(REGEXMATCH(I223,""Upskill""),1,0)
"),1.0)</f>
        <v>1</v>
      </c>
      <c r="O223" s="10">
        <f>IFERROR(__xludf.DUMMYFUNCTION("IF(REGEXMATCH(I223,""Networking""),1,0)
"),1.0)</f>
        <v>1</v>
      </c>
      <c r="P223" s="10">
        <f>IFERROR(__xludf.DUMMYFUNCTION("IF(REGEXMATCH(I223,""Switch Career""),1,0)
"),0.0)</f>
        <v>0</v>
      </c>
    </row>
    <row r="224" ht="22.5" customHeight="1">
      <c r="A224" s="3">
        <v>46041.47665251157</v>
      </c>
      <c r="B224" s="5" t="s">
        <v>1012</v>
      </c>
      <c r="C224" s="5" t="s">
        <v>1013</v>
      </c>
      <c r="D224" s="4" t="s">
        <v>1014</v>
      </c>
      <c r="E224" s="5" t="s">
        <v>364</v>
      </c>
      <c r="F224" s="5" t="s">
        <v>49</v>
      </c>
      <c r="G224" s="5" t="s">
        <v>1015</v>
      </c>
      <c r="H224" s="5" t="s">
        <v>1016</v>
      </c>
      <c r="I224" s="5" t="s">
        <v>59</v>
      </c>
      <c r="J224" s="5" t="s">
        <v>38</v>
      </c>
      <c r="K224" s="6" t="str">
        <f t="shared" si="1"/>
        <v>081220111638</v>
      </c>
      <c r="L224" s="6" t="str">
        <f>IFERROR(
VLOOKUP(
TRIM(
IF(ISNUMBER(FIND(",",E224)),
LEFT(E224,FIND(",",E224)-1),
E224
)
),
master!A:B,
2,
FALSE
),
"Belum ada mapping"
)
</f>
        <v>Jakarta</v>
      </c>
      <c r="M224" s="6">
        <f>IFERROR(__xludf.DUMMYFUNCTION("IF(REGEXMATCH(I224,""Cari Kerja""),1,0)
"),0.0)</f>
        <v>0</v>
      </c>
      <c r="N224" s="6">
        <f>IFERROR(__xludf.DUMMYFUNCTION("IF(REGEXMATCH(I224,""Upskill""),1,0)
"),1.0)</f>
        <v>1</v>
      </c>
      <c r="O224" s="6">
        <f>IFERROR(__xludf.DUMMYFUNCTION("IF(REGEXMATCH(I224,""Networking""),1,0)
"),1.0)</f>
        <v>1</v>
      </c>
      <c r="P224" s="6">
        <f>IFERROR(__xludf.DUMMYFUNCTION("IF(REGEXMATCH(I224,""Switch Career""),1,0)
"),0.0)</f>
        <v>0</v>
      </c>
    </row>
    <row r="225" ht="22.5" customHeight="1">
      <c r="A225" s="3">
        <v>46120.507912141205</v>
      </c>
      <c r="B225" s="5" t="s">
        <v>1017</v>
      </c>
      <c r="C225" s="5" t="s">
        <v>1018</v>
      </c>
      <c r="D225" s="4" t="s">
        <v>1019</v>
      </c>
      <c r="E225" s="5" t="s">
        <v>1020</v>
      </c>
      <c r="F225" s="5" t="s">
        <v>49</v>
      </c>
      <c r="G225" s="5" t="s">
        <v>867</v>
      </c>
      <c r="H225" s="5" t="s">
        <v>51</v>
      </c>
      <c r="I225" s="5" t="s">
        <v>31</v>
      </c>
      <c r="J225" s="5" t="s">
        <v>24</v>
      </c>
      <c r="K225" s="10" t="str">
        <f t="shared" si="1"/>
        <v>08970933093</v>
      </c>
      <c r="L225" s="10" t="str">
        <f>IFERROR(
VLOOKUP(
TRIM(
IF(ISNUMBER(FIND(",",E225)),
LEFT(E225,FIND(",",E225)-1),
E225
)
),
master!A:B,
2,
FALSE
),
"Belum ada mapping"
)
</f>
        <v>Jawa Timur</v>
      </c>
      <c r="M225" s="10">
        <f>IFERROR(__xludf.DUMMYFUNCTION("IF(REGEXMATCH(I225,""Cari Kerja""),1,0)
"),1.0)</f>
        <v>1</v>
      </c>
      <c r="N225" s="10">
        <f>IFERROR(__xludf.DUMMYFUNCTION("IF(REGEXMATCH(I225,""Upskill""),1,0)
"),1.0)</f>
        <v>1</v>
      </c>
      <c r="O225" s="10">
        <f>IFERROR(__xludf.DUMMYFUNCTION("IF(REGEXMATCH(I225,""Networking""),1,0)
"),1.0)</f>
        <v>1</v>
      </c>
      <c r="P225" s="10">
        <f>IFERROR(__xludf.DUMMYFUNCTION("IF(REGEXMATCH(I225,""Switch Career""),1,0)
"),1.0)</f>
        <v>1</v>
      </c>
    </row>
    <row r="226" ht="22.5" customHeight="1">
      <c r="A226" s="7">
        <v>46040.41805641203</v>
      </c>
      <c r="B226" s="8" t="s">
        <v>1021</v>
      </c>
      <c r="C226" s="8" t="s">
        <v>1022</v>
      </c>
      <c r="D226" s="9" t="s">
        <v>1023</v>
      </c>
      <c r="E226" s="8" t="s">
        <v>344</v>
      </c>
      <c r="F226" s="8" t="s">
        <v>20</v>
      </c>
      <c r="G226" s="8" t="s">
        <v>267</v>
      </c>
      <c r="H226" s="8" t="s">
        <v>58</v>
      </c>
      <c r="I226" s="8" t="s">
        <v>130</v>
      </c>
      <c r="J226" s="8" t="s">
        <v>24</v>
      </c>
      <c r="K226" s="6" t="str">
        <f t="shared" si="1"/>
        <v>089601546034</v>
      </c>
      <c r="L226" s="6" t="str">
        <f>IFERROR(
VLOOKUP(
TRIM(
IF(ISNUMBER(FIND(",",E226)),
LEFT(E226,FIND(",",E226)-1),
E226
)
),
master!A:B,
2,
FALSE
),
"Belum ada mapping"
)
</f>
        <v>Jawa Timur</v>
      </c>
      <c r="M226" s="6">
        <f>IFERROR(__xludf.DUMMYFUNCTION("IF(REGEXMATCH(I226,""Cari Kerja""),1,0)
"),1.0)</f>
        <v>1</v>
      </c>
      <c r="N226" s="6">
        <f>IFERROR(__xludf.DUMMYFUNCTION("IF(REGEXMATCH(I226,""Upskill""),1,0)
"),1.0)</f>
        <v>1</v>
      </c>
      <c r="O226" s="6">
        <f>IFERROR(__xludf.DUMMYFUNCTION("IF(REGEXMATCH(I226,""Networking""),1,0)
"),0.0)</f>
        <v>0</v>
      </c>
      <c r="P226" s="6">
        <f>IFERROR(__xludf.DUMMYFUNCTION("IF(REGEXMATCH(I226,""Switch Career""),1,0)
"),0.0)</f>
        <v>0</v>
      </c>
    </row>
    <row r="227" ht="22.5" customHeight="1">
      <c r="A227" s="3">
        <v>46048.92193318287</v>
      </c>
      <c r="B227" s="5" t="s">
        <v>1024</v>
      </c>
      <c r="C227" s="5" t="s">
        <v>1025</v>
      </c>
      <c r="D227" s="4" t="s">
        <v>1026</v>
      </c>
      <c r="E227" s="5" t="s">
        <v>118</v>
      </c>
      <c r="F227" s="5" t="s">
        <v>49</v>
      </c>
      <c r="G227" s="5" t="s">
        <v>1027</v>
      </c>
      <c r="H227" s="5" t="s">
        <v>176</v>
      </c>
      <c r="I227" s="5" t="s">
        <v>13</v>
      </c>
      <c r="J227" s="5" t="s">
        <v>24</v>
      </c>
      <c r="K227" s="6" t="str">
        <f t="shared" si="1"/>
        <v>081287468636</v>
      </c>
      <c r="L227" s="6" t="str">
        <f>IFERROR(
VLOOKUP(
TRIM(
IF(ISNUMBER(FIND(",",E227)),
LEFT(E227,FIND(",",E227)-1),
E227
)
),
master!A:B,
2,
FALSE
),
"Belum ada mapping"
)
</f>
        <v>Jawa Timur</v>
      </c>
      <c r="M227" s="6">
        <f>IFERROR(__xludf.DUMMYFUNCTION("IF(REGEXMATCH(I227,""Cari Kerja""),1,0)
"),0.0)</f>
        <v>0</v>
      </c>
      <c r="N227" s="6">
        <f>IFERROR(__xludf.DUMMYFUNCTION("IF(REGEXMATCH(I227,""Upskill""),1,0)
"),1.0)</f>
        <v>1</v>
      </c>
      <c r="O227" s="6">
        <f>IFERROR(__xludf.DUMMYFUNCTION("IF(REGEXMATCH(I227,""Networking""),1,0)
"),0.0)</f>
        <v>0</v>
      </c>
      <c r="P227" s="6">
        <f>IFERROR(__xludf.DUMMYFUNCTION("IF(REGEXMATCH(I227,""Switch Career""),1,0)
"),0.0)</f>
        <v>0</v>
      </c>
    </row>
    <row r="228" ht="22.5" customHeight="1">
      <c r="A228" s="3">
        <v>46042.38401202546</v>
      </c>
      <c r="B228" s="5" t="s">
        <v>1028</v>
      </c>
      <c r="C228" s="5" t="s">
        <v>1029</v>
      </c>
      <c r="D228" s="4" t="s">
        <v>1030</v>
      </c>
      <c r="E228" s="5" t="s">
        <v>1031</v>
      </c>
      <c r="F228" s="5" t="s">
        <v>20</v>
      </c>
      <c r="G228" s="5" t="s">
        <v>1032</v>
      </c>
      <c r="H228" s="5" t="s">
        <v>51</v>
      </c>
      <c r="I228" s="5" t="s">
        <v>13</v>
      </c>
      <c r="J228" s="5" t="s">
        <v>24</v>
      </c>
      <c r="K228" s="6" t="str">
        <f t="shared" si="1"/>
        <v>085891317675</v>
      </c>
      <c r="L228" s="6" t="str">
        <f>IFERROR(
VLOOKUP(
TRIM(
IF(ISNUMBER(FIND(",",E228)),
LEFT(E228,FIND(",",E228)-1),
E228
)
),
master!A:B,
2,
FALSE
),
"Belum ada mapping"
)
</f>
        <v>Jawa Barat</v>
      </c>
      <c r="M228" s="6">
        <f>IFERROR(__xludf.DUMMYFUNCTION("IF(REGEXMATCH(I228,""Cari Kerja""),1,0)
"),0.0)</f>
        <v>0</v>
      </c>
      <c r="N228" s="6">
        <f>IFERROR(__xludf.DUMMYFUNCTION("IF(REGEXMATCH(I228,""Upskill""),1,0)
"),1.0)</f>
        <v>1</v>
      </c>
      <c r="O228" s="6">
        <f>IFERROR(__xludf.DUMMYFUNCTION("IF(REGEXMATCH(I228,""Networking""),1,0)
"),0.0)</f>
        <v>0</v>
      </c>
      <c r="P228" s="6">
        <f>IFERROR(__xludf.DUMMYFUNCTION("IF(REGEXMATCH(I228,""Switch Career""),1,0)
"),0.0)</f>
        <v>0</v>
      </c>
    </row>
    <row r="229" ht="22.5" customHeight="1">
      <c r="A229" s="3">
        <v>46046.36593337963</v>
      </c>
      <c r="B229" s="5" t="s">
        <v>1033</v>
      </c>
      <c r="C229" s="5" t="s">
        <v>1034</v>
      </c>
      <c r="D229" s="4" t="s">
        <v>1035</v>
      </c>
      <c r="E229" s="5" t="s">
        <v>207</v>
      </c>
      <c r="F229" s="5" t="s">
        <v>20</v>
      </c>
      <c r="G229" s="5" t="s">
        <v>21</v>
      </c>
      <c r="H229" s="5" t="s">
        <v>51</v>
      </c>
      <c r="I229" s="5" t="s">
        <v>31</v>
      </c>
      <c r="J229" s="5" t="s">
        <v>76</v>
      </c>
      <c r="K229" s="6" t="str">
        <f t="shared" si="1"/>
        <v>08973797888</v>
      </c>
      <c r="L229" s="6" t="str">
        <f>IFERROR(
VLOOKUP(
TRIM(
IF(ISNUMBER(FIND(",",E229)),
LEFT(E229,FIND(",",E229)-1),
E229
)
),
master!A:B,
2,
FALSE
),
"Belum ada mapping"
)
</f>
        <v>Jakarta</v>
      </c>
      <c r="M229" s="6">
        <f>IFERROR(__xludf.DUMMYFUNCTION("IF(REGEXMATCH(I229,""Cari Kerja""),1,0)
"),1.0)</f>
        <v>1</v>
      </c>
      <c r="N229" s="6">
        <f>IFERROR(__xludf.DUMMYFUNCTION("IF(REGEXMATCH(I229,""Upskill""),1,0)
"),1.0)</f>
        <v>1</v>
      </c>
      <c r="O229" s="6">
        <f>IFERROR(__xludf.DUMMYFUNCTION("IF(REGEXMATCH(I229,""Networking""),1,0)
"),1.0)</f>
        <v>1</v>
      </c>
      <c r="P229" s="6">
        <f>IFERROR(__xludf.DUMMYFUNCTION("IF(REGEXMATCH(I229,""Switch Career""),1,0)
"),1.0)</f>
        <v>1</v>
      </c>
    </row>
    <row r="230" ht="22.5" customHeight="1">
      <c r="A230" s="3">
        <v>46134.74183399306</v>
      </c>
      <c r="B230" s="5" t="s">
        <v>1036</v>
      </c>
      <c r="C230" s="5" t="s">
        <v>1037</v>
      </c>
      <c r="D230" s="4" t="s">
        <v>1038</v>
      </c>
      <c r="E230" s="5" t="s">
        <v>42</v>
      </c>
      <c r="F230" s="5" t="s">
        <v>49</v>
      </c>
      <c r="G230" s="5" t="s">
        <v>1039</v>
      </c>
      <c r="H230" s="5" t="s">
        <v>1040</v>
      </c>
      <c r="I230" s="5" t="s">
        <v>52</v>
      </c>
      <c r="J230" s="5" t="s">
        <v>76</v>
      </c>
      <c r="K230" s="10" t="str">
        <f t="shared" si="1"/>
        <v>08815877610</v>
      </c>
      <c r="L230" s="10" t="str">
        <f>IFERROR(
VLOOKUP(
TRIM(
IF(ISNUMBER(FIND(",",E230)),
LEFT(E230,FIND(",",E230)-1),
E230
)
),
master!A:B,
2,
FALSE
),
"Belum ada mapping"
)
</f>
        <v>Jawa Barat</v>
      </c>
      <c r="M230" s="10">
        <f>IFERROR(__xludf.DUMMYFUNCTION("IF(REGEXMATCH(I230,""Cari Kerja""),1,0)
"),0.0)</f>
        <v>0</v>
      </c>
      <c r="N230" s="10">
        <f>IFERROR(__xludf.DUMMYFUNCTION("IF(REGEXMATCH(I230,""Upskill""),1,0)
"),1.0)</f>
        <v>1</v>
      </c>
      <c r="O230" s="10">
        <f>IFERROR(__xludf.DUMMYFUNCTION("IF(REGEXMATCH(I230,""Networking""),1,0)
"),1.0)</f>
        <v>1</v>
      </c>
      <c r="P230" s="10">
        <f>IFERROR(__xludf.DUMMYFUNCTION("IF(REGEXMATCH(I230,""Switch Career""),1,0)
"),1.0)</f>
        <v>1</v>
      </c>
    </row>
    <row r="231" ht="22.5" customHeight="1">
      <c r="A231" s="7">
        <v>46040.35559466435</v>
      </c>
      <c r="B231" s="8" t="s">
        <v>1041</v>
      </c>
      <c r="C231" s="8" t="s">
        <v>1042</v>
      </c>
      <c r="D231" s="9" t="s">
        <v>1043</v>
      </c>
      <c r="E231" s="8" t="s">
        <v>42</v>
      </c>
      <c r="F231" s="8" t="s">
        <v>20</v>
      </c>
      <c r="G231" s="8" t="s">
        <v>1044</v>
      </c>
      <c r="H231" s="8" t="s">
        <v>51</v>
      </c>
      <c r="I231" s="8" t="s">
        <v>31</v>
      </c>
      <c r="J231" s="8" t="s">
        <v>24</v>
      </c>
      <c r="K231" s="6" t="str">
        <f t="shared" si="1"/>
        <v>085161610343</v>
      </c>
      <c r="L231" s="6" t="str">
        <f>IFERROR(
VLOOKUP(
TRIM(
IF(ISNUMBER(FIND(",",E231)),
LEFT(E231,FIND(",",E231)-1),
E231
)
),
master!A:B,
2,
FALSE
),
"Belum ada mapping"
)
</f>
        <v>Jawa Barat</v>
      </c>
      <c r="M231" s="6">
        <f>IFERROR(__xludf.DUMMYFUNCTION("IF(REGEXMATCH(I231,""Cari Kerja""),1,0)
"),1.0)</f>
        <v>1</v>
      </c>
      <c r="N231" s="6">
        <f>IFERROR(__xludf.DUMMYFUNCTION("IF(REGEXMATCH(I231,""Upskill""),1,0)
"),1.0)</f>
        <v>1</v>
      </c>
      <c r="O231" s="6">
        <f>IFERROR(__xludf.DUMMYFUNCTION("IF(REGEXMATCH(I231,""Networking""),1,0)
"),1.0)</f>
        <v>1</v>
      </c>
      <c r="P231" s="6">
        <f>IFERROR(__xludf.DUMMYFUNCTION("IF(REGEXMATCH(I231,""Switch Career""),1,0)
"),1.0)</f>
        <v>1</v>
      </c>
    </row>
    <row r="232" ht="22.5" customHeight="1">
      <c r="A232" s="3">
        <v>46114.731118275464</v>
      </c>
      <c r="B232" s="5" t="s">
        <v>1045</v>
      </c>
      <c r="C232" s="5" t="s">
        <v>1046</v>
      </c>
      <c r="D232" s="4" t="s">
        <v>1047</v>
      </c>
      <c r="E232" s="5" t="s">
        <v>207</v>
      </c>
      <c r="F232" s="5" t="s">
        <v>49</v>
      </c>
      <c r="G232" s="5" t="s">
        <v>1048</v>
      </c>
      <c r="H232" s="5" t="s">
        <v>278</v>
      </c>
      <c r="I232" s="5" t="s">
        <v>31</v>
      </c>
      <c r="J232" s="5" t="s">
        <v>38</v>
      </c>
      <c r="K232" s="10" t="str">
        <f t="shared" si="1"/>
        <v>081110136901</v>
      </c>
      <c r="L232" s="10" t="str">
        <f>IFERROR(
VLOOKUP(
TRIM(
IF(ISNUMBER(FIND(",",E232)),
LEFT(E232,FIND(",",E232)-1),
E232
)
),
master!A:B,
2,
FALSE
),
"Belum ada mapping"
)
</f>
        <v>Jakarta</v>
      </c>
      <c r="M232" s="10">
        <f>IFERROR(__xludf.DUMMYFUNCTION("IF(REGEXMATCH(I232,""Cari Kerja""),1,0)
"),1.0)</f>
        <v>1</v>
      </c>
      <c r="N232" s="10">
        <f>IFERROR(__xludf.DUMMYFUNCTION("IF(REGEXMATCH(I232,""Upskill""),1,0)
"),1.0)</f>
        <v>1</v>
      </c>
      <c r="O232" s="10">
        <f>IFERROR(__xludf.DUMMYFUNCTION("IF(REGEXMATCH(I232,""Networking""),1,0)
"),1.0)</f>
        <v>1</v>
      </c>
      <c r="P232" s="10">
        <f>IFERROR(__xludf.DUMMYFUNCTION("IF(REGEXMATCH(I232,""Switch Career""),1,0)
"),1.0)</f>
        <v>1</v>
      </c>
    </row>
    <row r="233" ht="22.5" customHeight="1">
      <c r="A233" s="3">
        <v>46042.50769168981</v>
      </c>
      <c r="B233" s="5" t="s">
        <v>1049</v>
      </c>
      <c r="C233" s="5" t="s">
        <v>1050</v>
      </c>
      <c r="D233" s="4" t="s">
        <v>1051</v>
      </c>
      <c r="E233" s="5" t="s">
        <v>1052</v>
      </c>
      <c r="F233" s="5" t="s">
        <v>20</v>
      </c>
      <c r="G233" s="5" t="s">
        <v>1053</v>
      </c>
      <c r="H233" s="5" t="s">
        <v>1054</v>
      </c>
      <c r="I233" s="5" t="s">
        <v>59</v>
      </c>
      <c r="J233" s="5" t="s">
        <v>24</v>
      </c>
      <c r="K233" s="6" t="str">
        <f t="shared" si="1"/>
        <v>085157331814</v>
      </c>
      <c r="L233" s="6" t="str">
        <f>IFERROR(
VLOOKUP(
TRIM(
IF(ISNUMBER(FIND(",",E233)),
LEFT(E233,FIND(",",E233)-1),
E233
)
),
master!A:B,
2,
FALSE
),
"Belum ada mapping"
)
</f>
        <v>Sulawesi Tengah</v>
      </c>
      <c r="M233" s="6">
        <f>IFERROR(__xludf.DUMMYFUNCTION("IF(REGEXMATCH(I233,""Cari Kerja""),1,0)
"),0.0)</f>
        <v>0</v>
      </c>
      <c r="N233" s="6">
        <f>IFERROR(__xludf.DUMMYFUNCTION("IF(REGEXMATCH(I233,""Upskill""),1,0)
"),1.0)</f>
        <v>1</v>
      </c>
      <c r="O233" s="6">
        <f>IFERROR(__xludf.DUMMYFUNCTION("IF(REGEXMATCH(I233,""Networking""),1,0)
"),1.0)</f>
        <v>1</v>
      </c>
      <c r="P233" s="6">
        <f>IFERROR(__xludf.DUMMYFUNCTION("IF(REGEXMATCH(I233,""Switch Career""),1,0)
"),0.0)</f>
        <v>0</v>
      </c>
    </row>
    <row r="234" ht="22.5" customHeight="1">
      <c r="A234" s="3">
        <v>46120.804263287035</v>
      </c>
      <c r="B234" s="5" t="s">
        <v>1055</v>
      </c>
      <c r="C234" s="5" t="s">
        <v>1056</v>
      </c>
      <c r="D234" s="4" t="s">
        <v>1057</v>
      </c>
      <c r="E234" s="5" t="s">
        <v>42</v>
      </c>
      <c r="F234" s="5" t="s">
        <v>49</v>
      </c>
      <c r="G234" s="5" t="s">
        <v>1058</v>
      </c>
      <c r="H234" s="5" t="s">
        <v>198</v>
      </c>
      <c r="I234" s="5" t="s">
        <v>31</v>
      </c>
      <c r="J234" s="5" t="s">
        <v>38</v>
      </c>
      <c r="K234" s="10" t="str">
        <f t="shared" si="1"/>
        <v>081316363181</v>
      </c>
      <c r="L234" s="10" t="str">
        <f>IFERROR(
VLOOKUP(
TRIM(
IF(ISNUMBER(FIND(",",E234)),
LEFT(E234,FIND(",",E234)-1),
E234
)
),
master!A:B,
2,
FALSE
),
"Belum ada mapping"
)
</f>
        <v>Jawa Barat</v>
      </c>
      <c r="M234" s="10">
        <f>IFERROR(__xludf.DUMMYFUNCTION("IF(REGEXMATCH(I234,""Cari Kerja""),1,0)
"),1.0)</f>
        <v>1</v>
      </c>
      <c r="N234" s="10">
        <f>IFERROR(__xludf.DUMMYFUNCTION("IF(REGEXMATCH(I234,""Upskill""),1,0)
"),1.0)</f>
        <v>1</v>
      </c>
      <c r="O234" s="10">
        <f>IFERROR(__xludf.DUMMYFUNCTION("IF(REGEXMATCH(I234,""Networking""),1,0)
"),1.0)</f>
        <v>1</v>
      </c>
      <c r="P234" s="10">
        <f>IFERROR(__xludf.DUMMYFUNCTION("IF(REGEXMATCH(I234,""Switch Career""),1,0)
"),1.0)</f>
        <v>1</v>
      </c>
    </row>
    <row r="235" ht="22.5" customHeight="1">
      <c r="A235" s="3">
        <v>46127.679840972225</v>
      </c>
      <c r="B235" s="5" t="s">
        <v>1055</v>
      </c>
      <c r="C235" s="5" t="s">
        <v>1056</v>
      </c>
      <c r="D235" s="4" t="s">
        <v>1057</v>
      </c>
      <c r="E235" s="5" t="s">
        <v>42</v>
      </c>
      <c r="F235" s="5" t="s">
        <v>49</v>
      </c>
      <c r="G235" s="5" t="s">
        <v>1059</v>
      </c>
      <c r="H235" s="5" t="s">
        <v>51</v>
      </c>
      <c r="I235" s="5" t="s">
        <v>31</v>
      </c>
      <c r="J235" s="5" t="s">
        <v>24</v>
      </c>
      <c r="K235" s="10" t="str">
        <f t="shared" si="1"/>
        <v>081316363181</v>
      </c>
      <c r="L235" s="10" t="str">
        <f>IFERROR(
VLOOKUP(
TRIM(
IF(ISNUMBER(FIND(",",E235)),
LEFT(E235,FIND(",",E235)-1),
E235
)
),
master!A:B,
2,
FALSE
),
"Belum ada mapping"
)
</f>
        <v>Jawa Barat</v>
      </c>
      <c r="M235" s="10">
        <f>IFERROR(__xludf.DUMMYFUNCTION("IF(REGEXMATCH(I235,""Cari Kerja""),1,0)
"),1.0)</f>
        <v>1</v>
      </c>
      <c r="N235" s="10">
        <f>IFERROR(__xludf.DUMMYFUNCTION("IF(REGEXMATCH(I235,""Upskill""),1,0)
"),1.0)</f>
        <v>1</v>
      </c>
      <c r="O235" s="10">
        <f>IFERROR(__xludf.DUMMYFUNCTION("IF(REGEXMATCH(I235,""Networking""),1,0)
"),1.0)</f>
        <v>1</v>
      </c>
      <c r="P235" s="10">
        <f>IFERROR(__xludf.DUMMYFUNCTION("IF(REGEXMATCH(I235,""Switch Career""),1,0)
"),1.0)</f>
        <v>1</v>
      </c>
    </row>
    <row r="236" ht="22.5" customHeight="1">
      <c r="A236" s="3">
        <v>46042.34361174768</v>
      </c>
      <c r="B236" s="5" t="s">
        <v>1060</v>
      </c>
      <c r="C236" s="5" t="s">
        <v>1061</v>
      </c>
      <c r="D236" s="4" t="s">
        <v>1062</v>
      </c>
      <c r="E236" s="5" t="s">
        <v>551</v>
      </c>
      <c r="F236" s="5" t="s">
        <v>20</v>
      </c>
      <c r="G236" s="5" t="s">
        <v>1063</v>
      </c>
      <c r="H236" s="5" t="s">
        <v>51</v>
      </c>
      <c r="I236" s="5" t="s">
        <v>23</v>
      </c>
      <c r="J236" s="5" t="s">
        <v>24</v>
      </c>
      <c r="K236" s="6" t="str">
        <f t="shared" si="1"/>
        <v>0895340293854</v>
      </c>
      <c r="L236" s="6" t="str">
        <f>IFERROR(
VLOOKUP(
TRIM(
IF(ISNUMBER(FIND(",",E236)),
LEFT(E236,FIND(",",E236)-1),
E236
)
),
master!A:B,
2,
FALSE
),
"Belum ada mapping"
)
</f>
        <v>Jawa Barat</v>
      </c>
      <c r="M236" s="6">
        <f>IFERROR(__xludf.DUMMYFUNCTION("IF(REGEXMATCH(I236,""Cari Kerja""),1,0)
"),1.0)</f>
        <v>1</v>
      </c>
      <c r="N236" s="6">
        <f>IFERROR(__xludf.DUMMYFUNCTION("IF(REGEXMATCH(I236,""Upskill""),1,0)
"),1.0)</f>
        <v>1</v>
      </c>
      <c r="O236" s="6">
        <f>IFERROR(__xludf.DUMMYFUNCTION("IF(REGEXMATCH(I236,""Networking""),1,0)
"),1.0)</f>
        <v>1</v>
      </c>
      <c r="P236" s="6">
        <f>IFERROR(__xludf.DUMMYFUNCTION("IF(REGEXMATCH(I236,""Switch Career""),1,0)
"),0.0)</f>
        <v>0</v>
      </c>
    </row>
    <row r="237" ht="22.5" customHeight="1">
      <c r="A237" s="3">
        <v>46041.52736158565</v>
      </c>
      <c r="B237" s="5" t="s">
        <v>1064</v>
      </c>
      <c r="C237" s="5" t="s">
        <v>1065</v>
      </c>
      <c r="D237" s="4" t="s">
        <v>1066</v>
      </c>
      <c r="E237" s="5" t="s">
        <v>1067</v>
      </c>
      <c r="F237" s="5" t="s">
        <v>20</v>
      </c>
      <c r="G237" s="5" t="s">
        <v>1068</v>
      </c>
      <c r="H237" s="5" t="s">
        <v>1069</v>
      </c>
      <c r="I237" s="5" t="s">
        <v>31</v>
      </c>
      <c r="J237" s="5" t="s">
        <v>24</v>
      </c>
      <c r="K237" s="6" t="str">
        <f t="shared" si="1"/>
        <v>085320424112</v>
      </c>
      <c r="L237" s="6" t="str">
        <f>IFERROR(
VLOOKUP(
TRIM(
IF(ISNUMBER(FIND(",",E237)),
LEFT(E237,FIND(",",E237)-1),
E237
)
),
master!A:B,
2,
FALSE
),
"Belum ada mapping"
)
</f>
        <v>Jawa Barat</v>
      </c>
      <c r="M237" s="6">
        <f>IFERROR(__xludf.DUMMYFUNCTION("IF(REGEXMATCH(I237,""Cari Kerja""),1,0)
"),1.0)</f>
        <v>1</v>
      </c>
      <c r="N237" s="6">
        <f>IFERROR(__xludf.DUMMYFUNCTION("IF(REGEXMATCH(I237,""Upskill""),1,0)
"),1.0)</f>
        <v>1</v>
      </c>
      <c r="O237" s="6">
        <f>IFERROR(__xludf.DUMMYFUNCTION("IF(REGEXMATCH(I237,""Networking""),1,0)
"),1.0)</f>
        <v>1</v>
      </c>
      <c r="P237" s="6">
        <f>IFERROR(__xludf.DUMMYFUNCTION("IF(REGEXMATCH(I237,""Switch Career""),1,0)
"),1.0)</f>
        <v>1</v>
      </c>
    </row>
    <row r="238" ht="22.5" customHeight="1">
      <c r="A238" s="3">
        <v>46042.48801424769</v>
      </c>
      <c r="B238" s="5" t="s">
        <v>1070</v>
      </c>
      <c r="C238" s="5" t="s">
        <v>1071</v>
      </c>
      <c r="D238" s="4" t="s">
        <v>1072</v>
      </c>
      <c r="E238" s="5" t="s">
        <v>551</v>
      </c>
      <c r="F238" s="5" t="s">
        <v>20</v>
      </c>
      <c r="G238" s="5" t="s">
        <v>1073</v>
      </c>
      <c r="H238" s="5" t="s">
        <v>51</v>
      </c>
      <c r="I238" s="5" t="s">
        <v>23</v>
      </c>
      <c r="J238" s="5" t="s">
        <v>24</v>
      </c>
      <c r="K238" s="6" t="str">
        <f t="shared" si="1"/>
        <v>081808938962</v>
      </c>
      <c r="L238" s="6" t="str">
        <f>IFERROR(
VLOOKUP(
TRIM(
IF(ISNUMBER(FIND(",",E238)),
LEFT(E238,FIND(",",E238)-1),
E238
)
),
master!A:B,
2,
FALSE
),
"Belum ada mapping"
)
</f>
        <v>Jawa Barat</v>
      </c>
      <c r="M238" s="6">
        <f>IFERROR(__xludf.DUMMYFUNCTION("IF(REGEXMATCH(I238,""Cari Kerja""),1,0)
"),1.0)</f>
        <v>1</v>
      </c>
      <c r="N238" s="6">
        <f>IFERROR(__xludf.DUMMYFUNCTION("IF(REGEXMATCH(I238,""Upskill""),1,0)
"),1.0)</f>
        <v>1</v>
      </c>
      <c r="O238" s="6">
        <f>IFERROR(__xludf.DUMMYFUNCTION("IF(REGEXMATCH(I238,""Networking""),1,0)
"),1.0)</f>
        <v>1</v>
      </c>
      <c r="P238" s="6">
        <f>IFERROR(__xludf.DUMMYFUNCTION("IF(REGEXMATCH(I238,""Switch Career""),1,0)
"),0.0)</f>
        <v>0</v>
      </c>
    </row>
    <row r="239" ht="22.5" customHeight="1">
      <c r="A239" s="7">
        <v>46040.3664774537</v>
      </c>
      <c r="B239" s="8" t="s">
        <v>1074</v>
      </c>
      <c r="C239" s="8" t="s">
        <v>1075</v>
      </c>
      <c r="D239" s="9" t="s">
        <v>1076</v>
      </c>
      <c r="E239" s="8" t="s">
        <v>42</v>
      </c>
      <c r="F239" s="8" t="s">
        <v>20</v>
      </c>
      <c r="G239" s="8" t="s">
        <v>1077</v>
      </c>
      <c r="H239" s="8" t="s">
        <v>1006</v>
      </c>
      <c r="I239" s="8" t="s">
        <v>31</v>
      </c>
      <c r="J239" s="8" t="s">
        <v>24</v>
      </c>
      <c r="K239" s="6" t="str">
        <f t="shared" si="1"/>
        <v>083829099100</v>
      </c>
      <c r="L239" s="6" t="str">
        <f>IFERROR(
VLOOKUP(
TRIM(
IF(ISNUMBER(FIND(",",E239)),
LEFT(E239,FIND(",",E239)-1),
E239
)
),
master!A:B,
2,
FALSE
),
"Belum ada mapping"
)
</f>
        <v>Jawa Barat</v>
      </c>
      <c r="M239" s="6">
        <f>IFERROR(__xludf.DUMMYFUNCTION("IF(REGEXMATCH(I239,""Cari Kerja""),1,0)
"),1.0)</f>
        <v>1</v>
      </c>
      <c r="N239" s="6">
        <f>IFERROR(__xludf.DUMMYFUNCTION("IF(REGEXMATCH(I239,""Upskill""),1,0)
"),1.0)</f>
        <v>1</v>
      </c>
      <c r="O239" s="6">
        <f>IFERROR(__xludf.DUMMYFUNCTION("IF(REGEXMATCH(I239,""Networking""),1,0)
"),1.0)</f>
        <v>1</v>
      </c>
      <c r="P239" s="6">
        <f>IFERROR(__xludf.DUMMYFUNCTION("IF(REGEXMATCH(I239,""Switch Career""),1,0)
"),1.0)</f>
        <v>1</v>
      </c>
    </row>
    <row r="240" ht="22.5" customHeight="1">
      <c r="A240" s="3">
        <v>46046.71282641204</v>
      </c>
      <c r="B240" s="5" t="s">
        <v>1078</v>
      </c>
      <c r="C240" s="5" t="s">
        <v>1079</v>
      </c>
      <c r="D240" s="4" t="s">
        <v>1080</v>
      </c>
      <c r="E240" s="5" t="s">
        <v>344</v>
      </c>
      <c r="F240" s="5" t="s">
        <v>49</v>
      </c>
      <c r="G240" s="5" t="s">
        <v>1081</v>
      </c>
      <c r="H240" s="5" t="s">
        <v>1082</v>
      </c>
      <c r="I240" s="5" t="s">
        <v>52</v>
      </c>
      <c r="J240" s="5" t="s">
        <v>24</v>
      </c>
      <c r="K240" s="6" t="str">
        <f t="shared" si="1"/>
        <v>08121264190</v>
      </c>
      <c r="L240" s="6" t="str">
        <f>IFERROR(
VLOOKUP(
TRIM(
IF(ISNUMBER(FIND(",",E240)),
LEFT(E240,FIND(",",E240)-1),
E240
)
),
master!A:B,
2,
FALSE
),
"Belum ada mapping"
)
</f>
        <v>Jawa Timur</v>
      </c>
      <c r="M240" s="6">
        <f>IFERROR(__xludf.DUMMYFUNCTION("IF(REGEXMATCH(I240,""Cari Kerja""),1,0)
"),0.0)</f>
        <v>0</v>
      </c>
      <c r="N240" s="6">
        <f>IFERROR(__xludf.DUMMYFUNCTION("IF(REGEXMATCH(I240,""Upskill""),1,0)
"),1.0)</f>
        <v>1</v>
      </c>
      <c r="O240" s="6">
        <f>IFERROR(__xludf.DUMMYFUNCTION("IF(REGEXMATCH(I240,""Networking""),1,0)
"),1.0)</f>
        <v>1</v>
      </c>
      <c r="P240" s="6">
        <f>IFERROR(__xludf.DUMMYFUNCTION("IF(REGEXMATCH(I240,""Switch Career""),1,0)
"),1.0)</f>
        <v>1</v>
      </c>
    </row>
    <row r="241" ht="22.5" customHeight="1">
      <c r="A241" s="7">
        <v>46040.4239353125</v>
      </c>
      <c r="B241" s="8" t="s">
        <v>1083</v>
      </c>
      <c r="C241" s="8" t="s">
        <v>1079</v>
      </c>
      <c r="D241" s="9" t="s">
        <v>1080</v>
      </c>
      <c r="E241" s="8" t="s">
        <v>344</v>
      </c>
      <c r="F241" s="8" t="s">
        <v>49</v>
      </c>
      <c r="G241" s="8" t="s">
        <v>1084</v>
      </c>
      <c r="H241" s="8" t="s">
        <v>51</v>
      </c>
      <c r="I241" s="8" t="s">
        <v>52</v>
      </c>
      <c r="J241" s="8" t="s">
        <v>24</v>
      </c>
      <c r="K241" s="6" t="str">
        <f t="shared" si="1"/>
        <v>08121264190</v>
      </c>
      <c r="L241" s="6" t="str">
        <f>IFERROR(
VLOOKUP(
TRIM(
IF(ISNUMBER(FIND(",",E241)),
LEFT(E241,FIND(",",E241)-1),
E241
)
),
master!A:B,
2,
FALSE
),
"Belum ada mapping"
)
</f>
        <v>Jawa Timur</v>
      </c>
      <c r="M241" s="6">
        <f>IFERROR(__xludf.DUMMYFUNCTION("IF(REGEXMATCH(I241,""Cari Kerja""),1,0)
"),0.0)</f>
        <v>0</v>
      </c>
      <c r="N241" s="6">
        <f>IFERROR(__xludf.DUMMYFUNCTION("IF(REGEXMATCH(I241,""Upskill""),1,0)
"),1.0)</f>
        <v>1</v>
      </c>
      <c r="O241" s="6">
        <f>IFERROR(__xludf.DUMMYFUNCTION("IF(REGEXMATCH(I241,""Networking""),1,0)
"),1.0)</f>
        <v>1</v>
      </c>
      <c r="P241" s="6">
        <f>IFERROR(__xludf.DUMMYFUNCTION("IF(REGEXMATCH(I241,""Switch Career""),1,0)
"),1.0)</f>
        <v>1</v>
      </c>
    </row>
    <row r="242" ht="22.5" customHeight="1">
      <c r="A242" s="3">
        <v>46042.306134548606</v>
      </c>
      <c r="B242" s="5" t="s">
        <v>1085</v>
      </c>
      <c r="C242" s="5" t="s">
        <v>1086</v>
      </c>
      <c r="D242" s="4" t="s">
        <v>1087</v>
      </c>
      <c r="E242" s="5" t="s">
        <v>74</v>
      </c>
      <c r="F242" s="5" t="s">
        <v>20</v>
      </c>
      <c r="G242" s="5" t="s">
        <v>656</v>
      </c>
      <c r="H242" s="5" t="s">
        <v>439</v>
      </c>
      <c r="I242" s="5" t="s">
        <v>59</v>
      </c>
      <c r="J242" s="5" t="s">
        <v>24</v>
      </c>
      <c r="K242" s="6" t="str">
        <f t="shared" si="1"/>
        <v>087889898537</v>
      </c>
      <c r="L242" s="6" t="str">
        <f>IFERROR(
VLOOKUP(
TRIM(
IF(ISNUMBER(FIND(",",E242)),
LEFT(E242,FIND(",",E242)-1),
E242
)
),
master!A:B,
2,
FALSE
),
"Belum ada mapping"
)
</f>
        <v>Banten</v>
      </c>
      <c r="M242" s="6">
        <f>IFERROR(__xludf.DUMMYFUNCTION("IF(REGEXMATCH(I242,""Cari Kerja""),1,0)
"),0.0)</f>
        <v>0</v>
      </c>
      <c r="N242" s="6">
        <f>IFERROR(__xludf.DUMMYFUNCTION("IF(REGEXMATCH(I242,""Upskill""),1,0)
"),1.0)</f>
        <v>1</v>
      </c>
      <c r="O242" s="6">
        <f>IFERROR(__xludf.DUMMYFUNCTION("IF(REGEXMATCH(I242,""Networking""),1,0)
"),1.0)</f>
        <v>1</v>
      </c>
      <c r="P242" s="6">
        <f>IFERROR(__xludf.DUMMYFUNCTION("IF(REGEXMATCH(I242,""Switch Career""),1,0)
"),0.0)</f>
        <v>0</v>
      </c>
    </row>
    <row r="243" ht="22.5" customHeight="1">
      <c r="A243" s="3">
        <v>46044.906688414354</v>
      </c>
      <c r="B243" s="5" t="s">
        <v>1088</v>
      </c>
      <c r="C243" s="5" t="s">
        <v>1089</v>
      </c>
      <c r="D243" s="4" t="s">
        <v>1090</v>
      </c>
      <c r="E243" s="5" t="s">
        <v>484</v>
      </c>
      <c r="F243" s="5" t="s">
        <v>20</v>
      </c>
      <c r="G243" s="5" t="s">
        <v>21</v>
      </c>
      <c r="H243" s="5" t="s">
        <v>187</v>
      </c>
      <c r="I243" s="5" t="s">
        <v>23</v>
      </c>
      <c r="J243" s="5" t="s">
        <v>24</v>
      </c>
      <c r="K243" s="6" t="str">
        <f t="shared" si="1"/>
        <v>087748760484</v>
      </c>
      <c r="L243" s="6" t="str">
        <f>IFERROR(
VLOOKUP(
TRIM(
IF(ISNUMBER(FIND(",",E243)),
LEFT(E243,FIND(",",E243)-1),
E243
)
),
master!A:B,
2,
FALSE
),
"Belum ada mapping"
)
</f>
        <v>Jawa Tengah</v>
      </c>
      <c r="M243" s="6">
        <f>IFERROR(__xludf.DUMMYFUNCTION("IF(REGEXMATCH(I243,""Cari Kerja""),1,0)
"),1.0)</f>
        <v>1</v>
      </c>
      <c r="N243" s="6">
        <f>IFERROR(__xludf.DUMMYFUNCTION("IF(REGEXMATCH(I243,""Upskill""),1,0)
"),1.0)</f>
        <v>1</v>
      </c>
      <c r="O243" s="6">
        <f>IFERROR(__xludf.DUMMYFUNCTION("IF(REGEXMATCH(I243,""Networking""),1,0)
"),1.0)</f>
        <v>1</v>
      </c>
      <c r="P243" s="6">
        <f>IFERROR(__xludf.DUMMYFUNCTION("IF(REGEXMATCH(I243,""Switch Career""),1,0)
"),0.0)</f>
        <v>0</v>
      </c>
    </row>
    <row r="244" ht="22.5" customHeight="1">
      <c r="A244" s="7">
        <v>46041.41004559028</v>
      </c>
      <c r="B244" s="8" t="s">
        <v>1091</v>
      </c>
      <c r="C244" s="8" t="s">
        <v>1092</v>
      </c>
      <c r="D244" s="9" t="s">
        <v>1093</v>
      </c>
      <c r="E244" s="8" t="s">
        <v>92</v>
      </c>
      <c r="F244" s="8" t="s">
        <v>20</v>
      </c>
      <c r="G244" s="8" t="s">
        <v>592</v>
      </c>
      <c r="H244" s="8" t="s">
        <v>51</v>
      </c>
      <c r="I244" s="8" t="s">
        <v>23</v>
      </c>
      <c r="J244" s="8" t="s">
        <v>24</v>
      </c>
      <c r="K244" s="6" t="str">
        <f t="shared" si="1"/>
        <v>081219825863</v>
      </c>
      <c r="L244" s="6" t="str">
        <f>IFERROR(
VLOOKUP(
TRIM(
IF(ISNUMBER(FIND(",",E244)),
LEFT(E244,FIND(",",E244)-1),
E244
)
),
master!A:B,
2,
FALSE
),
"Belum ada mapping"
)
</f>
        <v>Jawa Barat</v>
      </c>
      <c r="M244" s="6">
        <f>IFERROR(__xludf.DUMMYFUNCTION("IF(REGEXMATCH(I244,""Cari Kerja""),1,0)
"),1.0)</f>
        <v>1</v>
      </c>
      <c r="N244" s="6">
        <f>IFERROR(__xludf.DUMMYFUNCTION("IF(REGEXMATCH(I244,""Upskill""),1,0)
"),1.0)</f>
        <v>1</v>
      </c>
      <c r="O244" s="6">
        <f>IFERROR(__xludf.DUMMYFUNCTION("IF(REGEXMATCH(I244,""Networking""),1,0)
"),1.0)</f>
        <v>1</v>
      </c>
      <c r="P244" s="6">
        <f>IFERROR(__xludf.DUMMYFUNCTION("IF(REGEXMATCH(I244,""Switch Career""),1,0)
"),0.0)</f>
        <v>0</v>
      </c>
    </row>
    <row r="245" ht="22.5" customHeight="1">
      <c r="A245" s="3">
        <v>46043.312846712965</v>
      </c>
      <c r="B245" s="5" t="s">
        <v>1094</v>
      </c>
      <c r="C245" s="5" t="s">
        <v>1095</v>
      </c>
      <c r="D245" s="4" t="s">
        <v>1096</v>
      </c>
      <c r="E245" s="5" t="s">
        <v>484</v>
      </c>
      <c r="F245" s="5" t="s">
        <v>20</v>
      </c>
      <c r="G245" s="5" t="s">
        <v>1097</v>
      </c>
      <c r="H245" s="5" t="s">
        <v>82</v>
      </c>
      <c r="I245" s="5" t="s">
        <v>23</v>
      </c>
      <c r="J245" s="5" t="s">
        <v>24</v>
      </c>
      <c r="K245" s="6" t="str">
        <f t="shared" si="1"/>
        <v>085643945783</v>
      </c>
      <c r="L245" s="6" t="str">
        <f>IFERROR(
VLOOKUP(
TRIM(
IF(ISNUMBER(FIND(",",E245)),
LEFT(E245,FIND(",",E245)-1),
E245
)
),
master!A:B,
2,
FALSE
),
"Belum ada mapping"
)
</f>
        <v>Jawa Tengah</v>
      </c>
      <c r="M245" s="6">
        <f>IFERROR(__xludf.DUMMYFUNCTION("IF(REGEXMATCH(I245,""Cari Kerja""),1,0)
"),1.0)</f>
        <v>1</v>
      </c>
      <c r="N245" s="6">
        <f>IFERROR(__xludf.DUMMYFUNCTION("IF(REGEXMATCH(I245,""Upskill""),1,0)
"),1.0)</f>
        <v>1</v>
      </c>
      <c r="O245" s="6">
        <f>IFERROR(__xludf.DUMMYFUNCTION("IF(REGEXMATCH(I245,""Networking""),1,0)
"),1.0)</f>
        <v>1</v>
      </c>
      <c r="P245" s="6">
        <f>IFERROR(__xludf.DUMMYFUNCTION("IF(REGEXMATCH(I245,""Switch Career""),1,0)
"),0.0)</f>
        <v>0</v>
      </c>
    </row>
    <row r="246" ht="22.5" customHeight="1">
      <c r="A246" s="3">
        <v>46048.968335196754</v>
      </c>
      <c r="B246" s="5" t="s">
        <v>1098</v>
      </c>
      <c r="C246" s="5" t="s">
        <v>1099</v>
      </c>
      <c r="D246" s="4" t="s">
        <v>1100</v>
      </c>
      <c r="E246" s="5" t="s">
        <v>118</v>
      </c>
      <c r="F246" s="5" t="s">
        <v>49</v>
      </c>
      <c r="G246" s="5" t="s">
        <v>1101</v>
      </c>
      <c r="H246" s="5" t="s">
        <v>557</v>
      </c>
      <c r="I246" s="5" t="s">
        <v>59</v>
      </c>
      <c r="J246" s="5" t="s">
        <v>24</v>
      </c>
      <c r="K246" s="6" t="str">
        <f t="shared" si="1"/>
        <v>082334742996</v>
      </c>
      <c r="L246" s="6" t="str">
        <f>IFERROR(
VLOOKUP(
TRIM(
IF(ISNUMBER(FIND(",",E246)),
LEFT(E246,FIND(",",E246)-1),
E246
)
),
master!A:B,
2,
FALSE
),
"Belum ada mapping"
)
</f>
        <v>Jawa Timur</v>
      </c>
      <c r="M246" s="6">
        <f>IFERROR(__xludf.DUMMYFUNCTION("IF(REGEXMATCH(I246,""Cari Kerja""),1,0)
"),0.0)</f>
        <v>0</v>
      </c>
      <c r="N246" s="6">
        <f>IFERROR(__xludf.DUMMYFUNCTION("IF(REGEXMATCH(I246,""Upskill""),1,0)
"),1.0)</f>
        <v>1</v>
      </c>
      <c r="O246" s="6">
        <f>IFERROR(__xludf.DUMMYFUNCTION("IF(REGEXMATCH(I246,""Networking""),1,0)
"),1.0)</f>
        <v>1</v>
      </c>
      <c r="P246" s="6">
        <f>IFERROR(__xludf.DUMMYFUNCTION("IF(REGEXMATCH(I246,""Switch Career""),1,0)
"),0.0)</f>
        <v>0</v>
      </c>
    </row>
    <row r="247" ht="22.5" customHeight="1">
      <c r="A247" s="3">
        <v>46043.51378854166</v>
      </c>
      <c r="B247" s="5" t="s">
        <v>1102</v>
      </c>
      <c r="C247" s="5" t="s">
        <v>1103</v>
      </c>
      <c r="D247" s="4" t="s">
        <v>1104</v>
      </c>
      <c r="E247" s="5" t="s">
        <v>92</v>
      </c>
      <c r="F247" s="5" t="s">
        <v>20</v>
      </c>
      <c r="G247" s="5" t="s">
        <v>1105</v>
      </c>
      <c r="H247" s="5" t="s">
        <v>51</v>
      </c>
      <c r="I247" s="5" t="s">
        <v>23</v>
      </c>
      <c r="J247" s="5" t="s">
        <v>24</v>
      </c>
      <c r="K247" s="6" t="str">
        <f t="shared" si="1"/>
        <v>085218454174</v>
      </c>
      <c r="L247" s="6" t="str">
        <f>IFERROR(
VLOOKUP(
TRIM(
IF(ISNUMBER(FIND(",",E247)),
LEFT(E247,FIND(",",E247)-1),
E247
)
),
master!A:B,
2,
FALSE
),
"Belum ada mapping"
)
</f>
        <v>Jawa Barat</v>
      </c>
      <c r="M247" s="6">
        <f>IFERROR(__xludf.DUMMYFUNCTION("IF(REGEXMATCH(I247,""Cari Kerja""),1,0)
"),1.0)</f>
        <v>1</v>
      </c>
      <c r="N247" s="6">
        <f>IFERROR(__xludf.DUMMYFUNCTION("IF(REGEXMATCH(I247,""Upskill""),1,0)
"),1.0)</f>
        <v>1</v>
      </c>
      <c r="O247" s="6">
        <f>IFERROR(__xludf.DUMMYFUNCTION("IF(REGEXMATCH(I247,""Networking""),1,0)
"),1.0)</f>
        <v>1</v>
      </c>
      <c r="P247" s="6">
        <f>IFERROR(__xludf.DUMMYFUNCTION("IF(REGEXMATCH(I247,""Switch Career""),1,0)
"),0.0)</f>
        <v>0</v>
      </c>
    </row>
    <row r="248" ht="22.5" customHeight="1">
      <c r="A248" s="7">
        <v>46040.361125717594</v>
      </c>
      <c r="B248" s="8" t="s">
        <v>1106</v>
      </c>
      <c r="C248" s="8" t="s">
        <v>1107</v>
      </c>
      <c r="D248" s="9" t="s">
        <v>1108</v>
      </c>
      <c r="E248" s="8" t="s">
        <v>48</v>
      </c>
      <c r="F248" s="8" t="s">
        <v>20</v>
      </c>
      <c r="G248" s="8" t="s">
        <v>1109</v>
      </c>
      <c r="H248" s="8" t="s">
        <v>1110</v>
      </c>
      <c r="I248" s="8" t="s">
        <v>130</v>
      </c>
      <c r="J248" s="8" t="s">
        <v>24</v>
      </c>
      <c r="K248" s="6" t="str">
        <f t="shared" si="1"/>
        <v>085867031515</v>
      </c>
      <c r="L248" s="6" t="str">
        <f>IFERROR(
VLOOKUP(
TRIM(
IF(ISNUMBER(FIND(",",E248)),
LEFT(E248,FIND(",",E248)-1),
E248
)
),
master!A:B,
2,
FALSE
),
"Belum ada mapping"
)
</f>
        <v>DI Yogyakarta</v>
      </c>
      <c r="M248" s="6">
        <f>IFERROR(__xludf.DUMMYFUNCTION("IF(REGEXMATCH(I248,""Cari Kerja""),1,0)
"),1.0)</f>
        <v>1</v>
      </c>
      <c r="N248" s="6">
        <f>IFERROR(__xludf.DUMMYFUNCTION("IF(REGEXMATCH(I248,""Upskill""),1,0)
"),1.0)</f>
        <v>1</v>
      </c>
      <c r="O248" s="6">
        <f>IFERROR(__xludf.DUMMYFUNCTION("IF(REGEXMATCH(I248,""Networking""),1,0)
"),0.0)</f>
        <v>0</v>
      </c>
      <c r="P248" s="6">
        <f>IFERROR(__xludf.DUMMYFUNCTION("IF(REGEXMATCH(I248,""Switch Career""),1,0)
"),0.0)</f>
        <v>0</v>
      </c>
    </row>
    <row r="249" ht="22.5" customHeight="1">
      <c r="A249" s="7">
        <v>46040.51771697917</v>
      </c>
      <c r="B249" s="8" t="s">
        <v>1111</v>
      </c>
      <c r="C249" s="8" t="s">
        <v>1112</v>
      </c>
      <c r="D249" s="9" t="s">
        <v>1113</v>
      </c>
      <c r="E249" s="8" t="s">
        <v>1114</v>
      </c>
      <c r="F249" s="8" t="s">
        <v>20</v>
      </c>
      <c r="G249" s="8" t="s">
        <v>69</v>
      </c>
      <c r="H249" s="8" t="s">
        <v>51</v>
      </c>
      <c r="I249" s="8" t="s">
        <v>23</v>
      </c>
      <c r="J249" s="8" t="s">
        <v>24</v>
      </c>
      <c r="K249" s="6" t="str">
        <f t="shared" si="1"/>
        <v>085668749176</v>
      </c>
      <c r="L249" s="6" t="str">
        <f>IFERROR(
VLOOKUP(
TRIM(
IF(ISNUMBER(FIND(",",E249)),
LEFT(E249,FIND(",",E249)-1),
E249
)
),
master!A:B,
2,
FALSE
),
"Belum ada mapping"
)
</f>
        <v>Sumatera Utara</v>
      </c>
      <c r="M249" s="6">
        <f>IFERROR(__xludf.DUMMYFUNCTION("IF(REGEXMATCH(I249,""Cari Kerja""),1,0)
"),1.0)</f>
        <v>1</v>
      </c>
      <c r="N249" s="6">
        <f>IFERROR(__xludf.DUMMYFUNCTION("IF(REGEXMATCH(I249,""Upskill""),1,0)
"),1.0)</f>
        <v>1</v>
      </c>
      <c r="O249" s="6">
        <f>IFERROR(__xludf.DUMMYFUNCTION("IF(REGEXMATCH(I249,""Networking""),1,0)
"),1.0)</f>
        <v>1</v>
      </c>
      <c r="P249" s="6">
        <f>IFERROR(__xludf.DUMMYFUNCTION("IF(REGEXMATCH(I249,""Switch Career""),1,0)
"),0.0)</f>
        <v>0</v>
      </c>
    </row>
    <row r="250" ht="22.5" customHeight="1">
      <c r="A250" s="3">
        <v>46043.415607372684</v>
      </c>
      <c r="B250" s="5" t="s">
        <v>1111</v>
      </c>
      <c r="C250" s="5" t="s">
        <v>1112</v>
      </c>
      <c r="D250" s="4" t="s">
        <v>1113</v>
      </c>
      <c r="E250" s="5" t="s">
        <v>113</v>
      </c>
      <c r="F250" s="5" t="s">
        <v>20</v>
      </c>
      <c r="G250" s="5" t="s">
        <v>1115</v>
      </c>
      <c r="H250" s="5" t="s">
        <v>51</v>
      </c>
      <c r="I250" s="5" t="s">
        <v>23</v>
      </c>
      <c r="J250" s="5" t="s">
        <v>24</v>
      </c>
      <c r="K250" s="6" t="str">
        <f t="shared" si="1"/>
        <v>085668749176</v>
      </c>
      <c r="L250" s="6" t="str">
        <f>IFERROR(
VLOOKUP(
TRIM(
IF(ISNUMBER(FIND(",",E250)),
LEFT(E250,FIND(",",E250)-1),
E250
)
),
master!A:B,
2,
FALSE
),
"Belum ada mapping"
)
</f>
        <v>Sumatera Utara</v>
      </c>
      <c r="M250" s="6">
        <f>IFERROR(__xludf.DUMMYFUNCTION("IF(REGEXMATCH(I250,""Cari Kerja""),1,0)
"),1.0)</f>
        <v>1</v>
      </c>
      <c r="N250" s="6">
        <f>IFERROR(__xludf.DUMMYFUNCTION("IF(REGEXMATCH(I250,""Upskill""),1,0)
"),1.0)</f>
        <v>1</v>
      </c>
      <c r="O250" s="6">
        <f>IFERROR(__xludf.DUMMYFUNCTION("IF(REGEXMATCH(I250,""Networking""),1,0)
"),1.0)</f>
        <v>1</v>
      </c>
      <c r="P250" s="6">
        <f>IFERROR(__xludf.DUMMYFUNCTION("IF(REGEXMATCH(I250,""Switch Career""),1,0)
"),0.0)</f>
        <v>0</v>
      </c>
    </row>
    <row r="251" ht="22.5" customHeight="1">
      <c r="A251" s="3">
        <v>46042.41617053241</v>
      </c>
      <c r="B251" s="5" t="s">
        <v>1116</v>
      </c>
      <c r="C251" s="5" t="s">
        <v>1117</v>
      </c>
      <c r="D251" s="4" t="s">
        <v>1118</v>
      </c>
      <c r="E251" s="5" t="s">
        <v>484</v>
      </c>
      <c r="F251" s="5" t="s">
        <v>20</v>
      </c>
      <c r="G251" s="5" t="s">
        <v>1119</v>
      </c>
      <c r="H251" s="5" t="s">
        <v>463</v>
      </c>
      <c r="I251" s="5" t="s">
        <v>13</v>
      </c>
      <c r="J251" s="5" t="s">
        <v>24</v>
      </c>
      <c r="K251" s="6" t="str">
        <f t="shared" si="1"/>
        <v>087739462301</v>
      </c>
      <c r="L251" s="6" t="str">
        <f>IFERROR(
VLOOKUP(
TRIM(
IF(ISNUMBER(FIND(",",E251)),
LEFT(E251,FIND(",",E251)-1),
E251
)
),
master!A:B,
2,
FALSE
),
"Belum ada mapping"
)
</f>
        <v>Jawa Tengah</v>
      </c>
      <c r="M251" s="6">
        <f>IFERROR(__xludf.DUMMYFUNCTION("IF(REGEXMATCH(I251,""Cari Kerja""),1,0)
"),0.0)</f>
        <v>0</v>
      </c>
      <c r="N251" s="6">
        <f>IFERROR(__xludf.DUMMYFUNCTION("IF(REGEXMATCH(I251,""Upskill""),1,0)
"),1.0)</f>
        <v>1</v>
      </c>
      <c r="O251" s="6">
        <f>IFERROR(__xludf.DUMMYFUNCTION("IF(REGEXMATCH(I251,""Networking""),1,0)
"),0.0)</f>
        <v>0</v>
      </c>
      <c r="P251" s="6">
        <f>IFERROR(__xludf.DUMMYFUNCTION("IF(REGEXMATCH(I251,""Switch Career""),1,0)
"),0.0)</f>
        <v>0</v>
      </c>
    </row>
    <row r="252" ht="22.5" customHeight="1">
      <c r="A252" s="3">
        <v>46041.97363329861</v>
      </c>
      <c r="B252" s="5" t="s">
        <v>1120</v>
      </c>
      <c r="C252" s="5" t="s">
        <v>1121</v>
      </c>
      <c r="D252" s="4" t="s">
        <v>1122</v>
      </c>
      <c r="E252" s="5" t="s">
        <v>207</v>
      </c>
      <c r="F252" s="5" t="s">
        <v>20</v>
      </c>
      <c r="G252" s="5" t="s">
        <v>1123</v>
      </c>
      <c r="H252" s="5" t="s">
        <v>51</v>
      </c>
      <c r="I252" s="5" t="s">
        <v>130</v>
      </c>
      <c r="J252" s="5" t="s">
        <v>24</v>
      </c>
      <c r="K252" s="6" t="str">
        <f t="shared" si="1"/>
        <v>088210352150</v>
      </c>
      <c r="L252" s="6" t="str">
        <f>IFERROR(
VLOOKUP(
TRIM(
IF(ISNUMBER(FIND(",",E252)),
LEFT(E252,FIND(",",E252)-1),
E252
)
),
master!A:B,
2,
FALSE
),
"Belum ada mapping"
)
</f>
        <v>Jakarta</v>
      </c>
      <c r="M252" s="6">
        <f>IFERROR(__xludf.DUMMYFUNCTION("IF(REGEXMATCH(I252,""Cari Kerja""),1,0)
"),1.0)</f>
        <v>1</v>
      </c>
      <c r="N252" s="6">
        <f>IFERROR(__xludf.DUMMYFUNCTION("IF(REGEXMATCH(I252,""Upskill""),1,0)
"),1.0)</f>
        <v>1</v>
      </c>
      <c r="O252" s="6">
        <f>IFERROR(__xludf.DUMMYFUNCTION("IF(REGEXMATCH(I252,""Networking""),1,0)
"),0.0)</f>
        <v>0</v>
      </c>
      <c r="P252" s="6">
        <f>IFERROR(__xludf.DUMMYFUNCTION("IF(REGEXMATCH(I252,""Switch Career""),1,0)
"),0.0)</f>
        <v>0</v>
      </c>
    </row>
    <row r="253" ht="22.5" customHeight="1">
      <c r="A253" s="3">
        <v>46048.615212951394</v>
      </c>
      <c r="B253" s="5" t="s">
        <v>1124</v>
      </c>
      <c r="C253" s="5" t="s">
        <v>1125</v>
      </c>
      <c r="D253" s="4" t="s">
        <v>1126</v>
      </c>
      <c r="E253" s="5" t="s">
        <v>28</v>
      </c>
      <c r="F253" s="5" t="s">
        <v>20</v>
      </c>
      <c r="G253" s="5" t="s">
        <v>1127</v>
      </c>
      <c r="H253" s="5" t="s">
        <v>1128</v>
      </c>
      <c r="I253" s="5" t="s">
        <v>52</v>
      </c>
      <c r="J253" s="5" t="s">
        <v>24</v>
      </c>
      <c r="K253" s="6" t="str">
        <f t="shared" si="1"/>
        <v>0895602569641</v>
      </c>
      <c r="L253" s="6" t="str">
        <f>IFERROR(
VLOOKUP(
TRIM(
IF(ISNUMBER(FIND(",",E253)),
LEFT(E253,FIND(",",E253)-1),
E253
)
),
master!A:B,
2,
FALSE
),
"Belum ada mapping"
)
</f>
        <v>Sumatera Barat</v>
      </c>
      <c r="M253" s="6">
        <f>IFERROR(__xludf.DUMMYFUNCTION("IF(REGEXMATCH(I253,""Cari Kerja""),1,0)
"),0.0)</f>
        <v>0</v>
      </c>
      <c r="N253" s="6">
        <f>IFERROR(__xludf.DUMMYFUNCTION("IF(REGEXMATCH(I253,""Upskill""),1,0)
"),1.0)</f>
        <v>1</v>
      </c>
      <c r="O253" s="6">
        <f>IFERROR(__xludf.DUMMYFUNCTION("IF(REGEXMATCH(I253,""Networking""),1,0)
"),1.0)</f>
        <v>1</v>
      </c>
      <c r="P253" s="6">
        <f>IFERROR(__xludf.DUMMYFUNCTION("IF(REGEXMATCH(I253,""Switch Career""),1,0)
"),1.0)</f>
        <v>1</v>
      </c>
    </row>
    <row r="254" ht="22.5" customHeight="1">
      <c r="A254" s="3">
        <v>46046.56373329861</v>
      </c>
      <c r="B254" s="5" t="s">
        <v>1129</v>
      </c>
      <c r="C254" s="5" t="s">
        <v>1130</v>
      </c>
      <c r="D254" s="4" t="s">
        <v>1131</v>
      </c>
      <c r="E254" s="5" t="s">
        <v>1132</v>
      </c>
      <c r="F254" s="5" t="s">
        <v>49</v>
      </c>
      <c r="G254" s="5" t="s">
        <v>1133</v>
      </c>
      <c r="H254" s="5" t="s">
        <v>51</v>
      </c>
      <c r="I254" s="5" t="s">
        <v>13</v>
      </c>
      <c r="J254" s="5" t="s">
        <v>24</v>
      </c>
      <c r="K254" s="6" t="str">
        <f t="shared" si="1"/>
        <v>087756766687</v>
      </c>
      <c r="L254" s="6" t="str">
        <f>IFERROR(
VLOOKUP(
TRIM(
IF(ISNUMBER(FIND(",",E254)),
LEFT(E254,FIND(",",E254)-1),
E254
)
),
master!A:B,
2,
FALSE
),
"Belum ada mapping"
)
</f>
        <v>Jawa Timur</v>
      </c>
      <c r="M254" s="6">
        <f>IFERROR(__xludf.DUMMYFUNCTION("IF(REGEXMATCH(I254,""Cari Kerja""),1,0)
"),0.0)</f>
        <v>0</v>
      </c>
      <c r="N254" s="6">
        <f>IFERROR(__xludf.DUMMYFUNCTION("IF(REGEXMATCH(I254,""Upskill""),1,0)
"),1.0)</f>
        <v>1</v>
      </c>
      <c r="O254" s="6">
        <f>IFERROR(__xludf.DUMMYFUNCTION("IF(REGEXMATCH(I254,""Networking""),1,0)
"),0.0)</f>
        <v>0</v>
      </c>
      <c r="P254" s="6">
        <f>IFERROR(__xludf.DUMMYFUNCTION("IF(REGEXMATCH(I254,""Switch Career""),1,0)
"),0.0)</f>
        <v>0</v>
      </c>
    </row>
    <row r="255" ht="22.5" customHeight="1">
      <c r="A255" s="7">
        <v>46040.36050571759</v>
      </c>
      <c r="B255" s="8" t="s">
        <v>1134</v>
      </c>
      <c r="C255" s="8" t="s">
        <v>1135</v>
      </c>
      <c r="D255" s="9" t="s">
        <v>1136</v>
      </c>
      <c r="E255" s="8" t="s">
        <v>443</v>
      </c>
      <c r="F255" s="8" t="s">
        <v>49</v>
      </c>
      <c r="G255" s="8" t="s">
        <v>1137</v>
      </c>
      <c r="H255" s="8" t="s">
        <v>225</v>
      </c>
      <c r="I255" s="8" t="s">
        <v>15</v>
      </c>
      <c r="J255" s="8" t="s">
        <v>24</v>
      </c>
      <c r="K255" s="6" t="str">
        <f t="shared" si="1"/>
        <v>085155098838</v>
      </c>
      <c r="L255" s="6" t="str">
        <f>IFERROR(
VLOOKUP(
TRIM(
IF(ISNUMBER(FIND(",",E255)),
LEFT(E255,FIND(",",E255)-1),
E255
)
),
master!A:B,
2,
FALSE
),
"Belum ada mapping"
)
</f>
        <v>Jawa Tengah</v>
      </c>
      <c r="M255" s="6">
        <f>IFERROR(__xludf.DUMMYFUNCTION("IF(REGEXMATCH(I255,""Cari Kerja""),1,0)
"),0.0)</f>
        <v>0</v>
      </c>
      <c r="N255" s="6">
        <f>IFERROR(__xludf.DUMMYFUNCTION("IF(REGEXMATCH(I255,""Upskill""),1,0)
"),0.0)</f>
        <v>0</v>
      </c>
      <c r="O255" s="6">
        <f>IFERROR(__xludf.DUMMYFUNCTION("IF(REGEXMATCH(I255,""Networking""),1,0)
"),0.0)</f>
        <v>0</v>
      </c>
      <c r="P255" s="6">
        <f>IFERROR(__xludf.DUMMYFUNCTION("IF(REGEXMATCH(I255,""Switch Career""),1,0)
"),1.0)</f>
        <v>1</v>
      </c>
    </row>
    <row r="256" ht="22.5" customHeight="1">
      <c r="A256" s="3">
        <v>46046.726912928236</v>
      </c>
      <c r="B256" s="5" t="s">
        <v>1138</v>
      </c>
      <c r="C256" s="5" t="s">
        <v>1139</v>
      </c>
      <c r="D256" s="4" t="s">
        <v>1140</v>
      </c>
      <c r="E256" s="5" t="s">
        <v>551</v>
      </c>
      <c r="F256" s="5" t="s">
        <v>20</v>
      </c>
      <c r="G256" s="5" t="s">
        <v>213</v>
      </c>
      <c r="H256" s="5" t="s">
        <v>51</v>
      </c>
      <c r="I256" s="5" t="s">
        <v>23</v>
      </c>
      <c r="J256" s="5" t="s">
        <v>38</v>
      </c>
      <c r="K256" s="6" t="str">
        <f t="shared" si="1"/>
        <v>087889219840</v>
      </c>
      <c r="L256" s="6" t="str">
        <f>IFERROR(
VLOOKUP(
TRIM(
IF(ISNUMBER(FIND(",",E256)),
LEFT(E256,FIND(",",E256)-1),
E256
)
),
master!A:B,
2,
FALSE
),
"Belum ada mapping"
)
</f>
        <v>Jawa Barat</v>
      </c>
      <c r="M256" s="6">
        <f>IFERROR(__xludf.DUMMYFUNCTION("IF(REGEXMATCH(I256,""Cari Kerja""),1,0)
"),1.0)</f>
        <v>1</v>
      </c>
      <c r="N256" s="6">
        <f>IFERROR(__xludf.DUMMYFUNCTION("IF(REGEXMATCH(I256,""Upskill""),1,0)
"),1.0)</f>
        <v>1</v>
      </c>
      <c r="O256" s="6">
        <f>IFERROR(__xludf.DUMMYFUNCTION("IF(REGEXMATCH(I256,""Networking""),1,0)
"),1.0)</f>
        <v>1</v>
      </c>
      <c r="P256" s="6">
        <f>IFERROR(__xludf.DUMMYFUNCTION("IF(REGEXMATCH(I256,""Switch Career""),1,0)
"),0.0)</f>
        <v>0</v>
      </c>
    </row>
    <row r="257" ht="22.5" customHeight="1">
      <c r="A257" s="3">
        <v>46115.31250043982</v>
      </c>
      <c r="B257" s="5" t="s">
        <v>1141</v>
      </c>
      <c r="C257" s="5" t="s">
        <v>1142</v>
      </c>
      <c r="D257" s="4" t="s">
        <v>1143</v>
      </c>
      <c r="E257" s="5" t="s">
        <v>551</v>
      </c>
      <c r="F257" s="5" t="s">
        <v>20</v>
      </c>
      <c r="G257" s="5" t="s">
        <v>21</v>
      </c>
      <c r="H257" s="5" t="s">
        <v>1144</v>
      </c>
      <c r="I257" s="5" t="s">
        <v>23</v>
      </c>
      <c r="J257" s="5" t="s">
        <v>76</v>
      </c>
      <c r="K257" s="10" t="str">
        <f t="shared" si="1"/>
        <v>089618937392</v>
      </c>
      <c r="L257" s="10" t="str">
        <f>IFERROR(
VLOOKUP(
TRIM(
IF(ISNUMBER(FIND(",",E257)),
LEFT(E257,FIND(",",E257)-1),
E257
)
),
master!A:B,
2,
FALSE
),
"Belum ada mapping"
)
</f>
        <v>Jawa Barat</v>
      </c>
      <c r="M257" s="10">
        <f>IFERROR(__xludf.DUMMYFUNCTION("IF(REGEXMATCH(I257,""Cari Kerja""),1,0)
"),1.0)</f>
        <v>1</v>
      </c>
      <c r="N257" s="10">
        <f>IFERROR(__xludf.DUMMYFUNCTION("IF(REGEXMATCH(I257,""Upskill""),1,0)
"),1.0)</f>
        <v>1</v>
      </c>
      <c r="O257" s="10">
        <f>IFERROR(__xludf.DUMMYFUNCTION("IF(REGEXMATCH(I257,""Networking""),1,0)
"),1.0)</f>
        <v>1</v>
      </c>
      <c r="P257" s="10">
        <f>IFERROR(__xludf.DUMMYFUNCTION("IF(REGEXMATCH(I257,""Switch Career""),1,0)
"),0.0)</f>
        <v>0</v>
      </c>
    </row>
    <row r="258" ht="22.5" customHeight="1">
      <c r="A258" s="3">
        <v>46113.24993263889</v>
      </c>
      <c r="B258" s="5" t="s">
        <v>1145</v>
      </c>
      <c r="C258" s="5" t="s">
        <v>1146</v>
      </c>
      <c r="D258" s="4" t="s">
        <v>1147</v>
      </c>
      <c r="E258" s="5" t="s">
        <v>35</v>
      </c>
      <c r="F258" s="5" t="s">
        <v>20</v>
      </c>
      <c r="G258" s="5" t="s">
        <v>69</v>
      </c>
      <c r="H258" s="5" t="s">
        <v>51</v>
      </c>
      <c r="I258" s="5" t="s">
        <v>23</v>
      </c>
      <c r="J258" s="5" t="s">
        <v>38</v>
      </c>
      <c r="K258" s="10" t="str">
        <f t="shared" si="1"/>
        <v>0881027881161</v>
      </c>
      <c r="L258" s="10" t="str">
        <f>IFERROR(
VLOOKUP(
TRIM(
IF(ISNUMBER(FIND(",",E258)),
LEFT(E258,FIND(",",E258)-1),
E258
)
),
master!A:B,
2,
FALSE
),
"Belum ada mapping"
)
</f>
        <v>Jawa Timur</v>
      </c>
      <c r="M258" s="10">
        <f>IFERROR(__xludf.DUMMYFUNCTION("IF(REGEXMATCH(I258,""Cari Kerja""),1,0)
"),1.0)</f>
        <v>1</v>
      </c>
      <c r="N258" s="10">
        <f>IFERROR(__xludf.DUMMYFUNCTION("IF(REGEXMATCH(I258,""Upskill""),1,0)
"),1.0)</f>
        <v>1</v>
      </c>
      <c r="O258" s="10">
        <f>IFERROR(__xludf.DUMMYFUNCTION("IF(REGEXMATCH(I258,""Networking""),1,0)
"),1.0)</f>
        <v>1</v>
      </c>
      <c r="P258" s="10">
        <f>IFERROR(__xludf.DUMMYFUNCTION("IF(REGEXMATCH(I258,""Switch Career""),1,0)
"),0.0)</f>
        <v>0</v>
      </c>
    </row>
    <row r="259" ht="22.5" customHeight="1">
      <c r="A259" s="3">
        <v>46120.62362554398</v>
      </c>
      <c r="B259" s="5" t="s">
        <v>1148</v>
      </c>
      <c r="C259" s="5" t="s">
        <v>1149</v>
      </c>
      <c r="D259" s="4" t="s">
        <v>1150</v>
      </c>
      <c r="E259" s="5" t="s">
        <v>1151</v>
      </c>
      <c r="F259" s="5" t="s">
        <v>49</v>
      </c>
      <c r="G259" s="5" t="s">
        <v>229</v>
      </c>
      <c r="H259" s="5" t="s">
        <v>51</v>
      </c>
      <c r="I259" s="5" t="s">
        <v>59</v>
      </c>
      <c r="J259" s="5" t="s">
        <v>24</v>
      </c>
      <c r="K259" s="10" t="str">
        <f t="shared" si="1"/>
        <v>0895337365765</v>
      </c>
      <c r="L259" s="10" t="str">
        <f>IFERROR(
VLOOKUP(
TRIM(
IF(ISNUMBER(FIND(",",E259)),
LEFT(E259,FIND(",",E259)-1),
E259
)
),
master!A:B,
2,
FALSE
),
"Belum ada mapping"
)
</f>
        <v>Jawa Barat</v>
      </c>
      <c r="M259" s="10">
        <f>IFERROR(__xludf.DUMMYFUNCTION("IF(REGEXMATCH(I259,""Cari Kerja""),1,0)
"),0.0)</f>
        <v>0</v>
      </c>
      <c r="N259" s="10">
        <f>IFERROR(__xludf.DUMMYFUNCTION("IF(REGEXMATCH(I259,""Upskill""),1,0)
"),1.0)</f>
        <v>1</v>
      </c>
      <c r="O259" s="10">
        <f>IFERROR(__xludf.DUMMYFUNCTION("IF(REGEXMATCH(I259,""Networking""),1,0)
"),1.0)</f>
        <v>1</v>
      </c>
      <c r="P259" s="10">
        <f>IFERROR(__xludf.DUMMYFUNCTION("IF(REGEXMATCH(I259,""Switch Career""),1,0)
"),0.0)</f>
        <v>0</v>
      </c>
    </row>
    <row r="260" ht="22.5" customHeight="1">
      <c r="A260" s="3">
        <v>46043.286555046296</v>
      </c>
      <c r="B260" s="5" t="s">
        <v>1152</v>
      </c>
      <c r="C260" s="5" t="s">
        <v>1153</v>
      </c>
      <c r="D260" s="4" t="s">
        <v>1154</v>
      </c>
      <c r="E260" s="5" t="s">
        <v>1155</v>
      </c>
      <c r="F260" s="5" t="s">
        <v>49</v>
      </c>
      <c r="G260" s="5" t="s">
        <v>1156</v>
      </c>
      <c r="H260" s="5" t="s">
        <v>245</v>
      </c>
      <c r="I260" s="5" t="s">
        <v>31</v>
      </c>
      <c r="J260" s="5" t="s">
        <v>38</v>
      </c>
      <c r="K260" s="6" t="str">
        <f t="shared" si="1"/>
        <v>0895326382917</v>
      </c>
      <c r="L260" s="6" t="str">
        <f>IFERROR(
VLOOKUP(
TRIM(
IF(ISNUMBER(FIND(",",E260)),
LEFT(E260,FIND(",",E260)-1),
E260
)
),
master!A:B,
2,
FALSE
),
"Belum ada mapping"
)
</f>
        <v>Jawa Barat</v>
      </c>
      <c r="M260" s="6">
        <f>IFERROR(__xludf.DUMMYFUNCTION("IF(REGEXMATCH(I260,""Cari Kerja""),1,0)
"),1.0)</f>
        <v>1</v>
      </c>
      <c r="N260" s="6">
        <f>IFERROR(__xludf.DUMMYFUNCTION("IF(REGEXMATCH(I260,""Upskill""),1,0)
"),1.0)</f>
        <v>1</v>
      </c>
      <c r="O260" s="6">
        <f>IFERROR(__xludf.DUMMYFUNCTION("IF(REGEXMATCH(I260,""Networking""),1,0)
"),1.0)</f>
        <v>1</v>
      </c>
      <c r="P260" s="6">
        <f>IFERROR(__xludf.DUMMYFUNCTION("IF(REGEXMATCH(I260,""Switch Career""),1,0)
"),1.0)</f>
        <v>1</v>
      </c>
    </row>
    <row r="261" ht="22.5" customHeight="1">
      <c r="A261" s="3">
        <v>46058.7572965625</v>
      </c>
      <c r="B261" s="5" t="s">
        <v>1157</v>
      </c>
      <c r="C261" s="5" t="s">
        <v>1158</v>
      </c>
      <c r="D261" s="4" t="s">
        <v>1159</v>
      </c>
      <c r="E261" s="5" t="s">
        <v>1160</v>
      </c>
      <c r="F261" s="5" t="s">
        <v>20</v>
      </c>
      <c r="G261" s="5" t="s">
        <v>1161</v>
      </c>
      <c r="H261" s="5" t="s">
        <v>1162</v>
      </c>
      <c r="I261" s="5" t="s">
        <v>130</v>
      </c>
      <c r="J261" s="5" t="s">
        <v>24</v>
      </c>
      <c r="K261" s="10" t="str">
        <f t="shared" si="1"/>
        <v>087724060337</v>
      </c>
      <c r="L261" s="10" t="str">
        <f>IFERROR(
VLOOKUP(
TRIM(
IF(ISNUMBER(FIND(",",E261)),
LEFT(E261,FIND(",",E261)-1),
E261
)
),
master!A:B,
2,
FALSE
),
"Belum ada mapping"
)
</f>
        <v>Jawa Barat</v>
      </c>
      <c r="M261" s="10">
        <f>IFERROR(__xludf.DUMMYFUNCTION("IF(REGEXMATCH(I261,""Cari Kerja""),1,0)
"),1.0)</f>
        <v>1</v>
      </c>
      <c r="N261" s="10">
        <f>IFERROR(__xludf.DUMMYFUNCTION("IF(REGEXMATCH(I261,""Upskill""),1,0)
"),1.0)</f>
        <v>1</v>
      </c>
      <c r="O261" s="10">
        <f>IFERROR(__xludf.DUMMYFUNCTION("IF(REGEXMATCH(I261,""Networking""),1,0)
"),0.0)</f>
        <v>0</v>
      </c>
      <c r="P261" s="10">
        <f>IFERROR(__xludf.DUMMYFUNCTION("IF(REGEXMATCH(I261,""Switch Career""),1,0)
"),0.0)</f>
        <v>0</v>
      </c>
    </row>
    <row r="262" ht="22.5" customHeight="1">
      <c r="A262" s="3">
        <v>46043.37051260417</v>
      </c>
      <c r="B262" s="5" t="s">
        <v>1163</v>
      </c>
      <c r="C262" s="5" t="s">
        <v>1164</v>
      </c>
      <c r="D262" s="4" t="s">
        <v>1165</v>
      </c>
      <c r="E262" s="5" t="s">
        <v>837</v>
      </c>
      <c r="F262" s="5" t="s">
        <v>49</v>
      </c>
      <c r="G262" s="5" t="s">
        <v>1166</v>
      </c>
      <c r="H262" s="5" t="s">
        <v>51</v>
      </c>
      <c r="I262" s="5" t="s">
        <v>31</v>
      </c>
      <c r="J262" s="5" t="s">
        <v>24</v>
      </c>
      <c r="K262" s="6" t="str">
        <f t="shared" si="1"/>
        <v>081909993643</v>
      </c>
      <c r="L262" s="6" t="str">
        <f>IFERROR(
VLOOKUP(
TRIM(
IF(ISNUMBER(FIND(",",E262)),
LEFT(E262,FIND(",",E262)-1),
E262
)
),
master!A:B,
2,
FALSE
),
"Belum ada mapping"
)
</f>
        <v>Jawa Barat</v>
      </c>
      <c r="M262" s="6">
        <f>IFERROR(__xludf.DUMMYFUNCTION("IF(REGEXMATCH(I262,""Cari Kerja""),1,0)
"),1.0)</f>
        <v>1</v>
      </c>
      <c r="N262" s="6">
        <f>IFERROR(__xludf.DUMMYFUNCTION("IF(REGEXMATCH(I262,""Upskill""),1,0)
"),1.0)</f>
        <v>1</v>
      </c>
      <c r="O262" s="6">
        <f>IFERROR(__xludf.DUMMYFUNCTION("IF(REGEXMATCH(I262,""Networking""),1,0)
"),1.0)</f>
        <v>1</v>
      </c>
      <c r="P262" s="6">
        <f>IFERROR(__xludf.DUMMYFUNCTION("IF(REGEXMATCH(I262,""Switch Career""),1,0)
"),1.0)</f>
        <v>1</v>
      </c>
    </row>
    <row r="263" ht="22.5" customHeight="1">
      <c r="A263" s="3">
        <v>46065.6539008449</v>
      </c>
      <c r="B263" s="5" t="s">
        <v>1167</v>
      </c>
      <c r="C263" s="5" t="s">
        <v>1168</v>
      </c>
      <c r="D263" s="4" t="s">
        <v>1169</v>
      </c>
      <c r="E263" s="5" t="s">
        <v>92</v>
      </c>
      <c r="F263" s="5" t="s">
        <v>20</v>
      </c>
      <c r="G263" s="5" t="s">
        <v>1170</v>
      </c>
      <c r="H263" s="5" t="s">
        <v>351</v>
      </c>
      <c r="I263" s="5" t="s">
        <v>130</v>
      </c>
      <c r="J263" s="5" t="s">
        <v>24</v>
      </c>
      <c r="K263" s="10" t="str">
        <f t="shared" si="1"/>
        <v>081281453768</v>
      </c>
      <c r="L263" s="10" t="str">
        <f>IFERROR(
VLOOKUP(
TRIM(
IF(ISNUMBER(FIND(",",E263)),
LEFT(E263,FIND(",",E263)-1),
E263
)
),
master!A:B,
2,
FALSE
),
"Belum ada mapping"
)
</f>
        <v>Jawa Barat</v>
      </c>
      <c r="M263" s="10">
        <f>IFERROR(__xludf.DUMMYFUNCTION("IF(REGEXMATCH(I263,""Cari Kerja""),1,0)
"),1.0)</f>
        <v>1</v>
      </c>
      <c r="N263" s="10">
        <f>IFERROR(__xludf.DUMMYFUNCTION("IF(REGEXMATCH(I263,""Upskill""),1,0)
"),1.0)</f>
        <v>1</v>
      </c>
      <c r="O263" s="10">
        <f>IFERROR(__xludf.DUMMYFUNCTION("IF(REGEXMATCH(I263,""Networking""),1,0)
"),0.0)</f>
        <v>0</v>
      </c>
      <c r="P263" s="10">
        <f>IFERROR(__xludf.DUMMYFUNCTION("IF(REGEXMATCH(I263,""Switch Career""),1,0)
"),0.0)</f>
        <v>0</v>
      </c>
    </row>
    <row r="264" ht="22.5" customHeight="1">
      <c r="A264" s="3">
        <v>46049.42821273148</v>
      </c>
      <c r="B264" s="5" t="s">
        <v>1171</v>
      </c>
      <c r="C264" s="5" t="s">
        <v>1172</v>
      </c>
      <c r="D264" s="4" t="s">
        <v>1173</v>
      </c>
      <c r="E264" s="5" t="s">
        <v>551</v>
      </c>
      <c r="F264" s="5" t="s">
        <v>49</v>
      </c>
      <c r="G264" s="5" t="s">
        <v>1174</v>
      </c>
      <c r="H264" s="5" t="s">
        <v>165</v>
      </c>
      <c r="I264" s="5" t="s">
        <v>31</v>
      </c>
      <c r="J264" s="5" t="s">
        <v>24</v>
      </c>
      <c r="K264" s="10" t="str">
        <f t="shared" si="1"/>
        <v>085894998880</v>
      </c>
      <c r="L264" s="6" t="str">
        <f>IFERROR(
VLOOKUP(
TRIM(
IF(ISNUMBER(FIND(",",E264)),
LEFT(E264,FIND(",",E264)-1),
E264
)
),
master!A:B,
2,
FALSE
),
"Belum ada mapping"
)
</f>
        <v>Jawa Barat</v>
      </c>
      <c r="M264" s="6">
        <f>IFERROR(__xludf.DUMMYFUNCTION("IF(REGEXMATCH(I264,""Cari Kerja""),1,0)
"),1.0)</f>
        <v>1</v>
      </c>
      <c r="N264" s="6">
        <f>IFERROR(__xludf.DUMMYFUNCTION("IF(REGEXMATCH(I264,""Upskill""),1,0)
"),1.0)</f>
        <v>1</v>
      </c>
      <c r="O264" s="6">
        <f>IFERROR(__xludf.DUMMYFUNCTION("IF(REGEXMATCH(I264,""Networking""),1,0)
"),1.0)</f>
        <v>1</v>
      </c>
      <c r="P264" s="6">
        <f>IFERROR(__xludf.DUMMYFUNCTION("IF(REGEXMATCH(I264,""Switch Career""),1,0)
"),1.0)</f>
        <v>1</v>
      </c>
    </row>
    <row r="265" ht="22.5" customHeight="1">
      <c r="A265" s="3">
        <v>46049.35490240741</v>
      </c>
      <c r="B265" s="5" t="s">
        <v>1175</v>
      </c>
      <c r="C265" s="5" t="s">
        <v>1176</v>
      </c>
      <c r="D265" s="4" t="s">
        <v>1177</v>
      </c>
      <c r="E265" s="5" t="s">
        <v>1178</v>
      </c>
      <c r="F265" s="5" t="s">
        <v>20</v>
      </c>
      <c r="G265" s="5" t="s">
        <v>1179</v>
      </c>
      <c r="H265" s="5" t="s">
        <v>51</v>
      </c>
      <c r="I265" s="5" t="s">
        <v>15</v>
      </c>
      <c r="J265" s="5" t="s">
        <v>24</v>
      </c>
      <c r="K265" s="6" t="str">
        <f t="shared" si="1"/>
        <v>089656069707</v>
      </c>
      <c r="L265" s="6" t="str">
        <f>IFERROR(
VLOOKUP(
TRIM(
IF(ISNUMBER(FIND(",",E265)),
LEFT(E265,FIND(",",E265)-1),
E265
)
),
master!A:B,
2,
FALSE
),
"Belum ada mapping"
)
</f>
        <v>Jawa Barat</v>
      </c>
      <c r="M265" s="6">
        <f>IFERROR(__xludf.DUMMYFUNCTION("IF(REGEXMATCH(I265,""Cari Kerja""),1,0)
"),0.0)</f>
        <v>0</v>
      </c>
      <c r="N265" s="6">
        <f>IFERROR(__xludf.DUMMYFUNCTION("IF(REGEXMATCH(I265,""Upskill""),1,0)
"),0.0)</f>
        <v>0</v>
      </c>
      <c r="O265" s="6">
        <f>IFERROR(__xludf.DUMMYFUNCTION("IF(REGEXMATCH(I265,""Networking""),1,0)
"),0.0)</f>
        <v>0</v>
      </c>
      <c r="P265" s="6">
        <f>IFERROR(__xludf.DUMMYFUNCTION("IF(REGEXMATCH(I265,""Switch Career""),1,0)
"),1.0)</f>
        <v>1</v>
      </c>
    </row>
    <row r="266" ht="22.5" customHeight="1">
      <c r="A266" s="7">
        <v>46040.36112048611</v>
      </c>
      <c r="B266" s="8" t="s">
        <v>1180</v>
      </c>
      <c r="C266" s="8" t="s">
        <v>1181</v>
      </c>
      <c r="D266" s="9" t="s">
        <v>1182</v>
      </c>
      <c r="E266" s="8" t="s">
        <v>207</v>
      </c>
      <c r="F266" s="8" t="s">
        <v>49</v>
      </c>
      <c r="G266" s="8" t="s">
        <v>1183</v>
      </c>
      <c r="H266" s="8" t="s">
        <v>37</v>
      </c>
      <c r="I266" s="8" t="s">
        <v>31</v>
      </c>
      <c r="J266" s="8" t="s">
        <v>24</v>
      </c>
      <c r="K266" s="6" t="str">
        <f t="shared" si="1"/>
        <v>081359631723</v>
      </c>
      <c r="L266" s="6" t="str">
        <f>IFERROR(
VLOOKUP(
TRIM(
IF(ISNUMBER(FIND(",",E266)),
LEFT(E266,FIND(",",E266)-1),
E266
)
),
master!A:B,
2,
FALSE
),
"Belum ada mapping"
)
</f>
        <v>Jakarta</v>
      </c>
      <c r="M266" s="6">
        <f>IFERROR(__xludf.DUMMYFUNCTION("IF(REGEXMATCH(I266,""Cari Kerja""),1,0)
"),1.0)</f>
        <v>1</v>
      </c>
      <c r="N266" s="6">
        <f>IFERROR(__xludf.DUMMYFUNCTION("IF(REGEXMATCH(I266,""Upskill""),1,0)
"),1.0)</f>
        <v>1</v>
      </c>
      <c r="O266" s="6">
        <f>IFERROR(__xludf.DUMMYFUNCTION("IF(REGEXMATCH(I266,""Networking""),1,0)
"),1.0)</f>
        <v>1</v>
      </c>
      <c r="P266" s="6">
        <f>IFERROR(__xludf.DUMMYFUNCTION("IF(REGEXMATCH(I266,""Switch Career""),1,0)
"),1.0)</f>
        <v>1</v>
      </c>
    </row>
    <row r="267" ht="22.5" customHeight="1">
      <c r="A267" s="3">
        <v>46042.566014131946</v>
      </c>
      <c r="B267" s="5" t="s">
        <v>1184</v>
      </c>
      <c r="C267" s="5" t="s">
        <v>1185</v>
      </c>
      <c r="D267" s="4" t="s">
        <v>1186</v>
      </c>
      <c r="E267" s="5" t="s">
        <v>414</v>
      </c>
      <c r="F267" s="5" t="s">
        <v>20</v>
      </c>
      <c r="G267" s="5" t="s">
        <v>1187</v>
      </c>
      <c r="H267" s="5" t="s">
        <v>93</v>
      </c>
      <c r="I267" s="5" t="s">
        <v>59</v>
      </c>
      <c r="J267" s="5" t="s">
        <v>24</v>
      </c>
      <c r="K267" s="6" t="str">
        <f t="shared" si="1"/>
        <v>085714172388</v>
      </c>
      <c r="L267" s="6" t="str">
        <f>IFERROR(
VLOOKUP(
TRIM(
IF(ISNUMBER(FIND(",",E267)),
LEFT(E267,FIND(",",E267)-1),
E267
)
),
master!A:B,
2,
FALSE
),
"Belum ada mapping"
)
</f>
        <v>DI Yogyakarta</v>
      </c>
      <c r="M267" s="6">
        <f>IFERROR(__xludf.DUMMYFUNCTION("IF(REGEXMATCH(I267,""Cari Kerja""),1,0)
"),0.0)</f>
        <v>0</v>
      </c>
      <c r="N267" s="6">
        <f>IFERROR(__xludf.DUMMYFUNCTION("IF(REGEXMATCH(I267,""Upskill""),1,0)
"),1.0)</f>
        <v>1</v>
      </c>
      <c r="O267" s="6">
        <f>IFERROR(__xludf.DUMMYFUNCTION("IF(REGEXMATCH(I267,""Networking""),1,0)
"),1.0)</f>
        <v>1</v>
      </c>
      <c r="P267" s="6">
        <f>IFERROR(__xludf.DUMMYFUNCTION("IF(REGEXMATCH(I267,""Switch Career""),1,0)
"),0.0)</f>
        <v>0</v>
      </c>
    </row>
    <row r="268" ht="22.5" customHeight="1">
      <c r="A268" s="3">
        <v>46134.69290958333</v>
      </c>
      <c r="B268" s="5" t="s">
        <v>1188</v>
      </c>
      <c r="C268" s="5" t="s">
        <v>1189</v>
      </c>
      <c r="D268" s="5" t="s">
        <v>1190</v>
      </c>
      <c r="E268" s="5" t="s">
        <v>1191</v>
      </c>
      <c r="F268" s="5" t="s">
        <v>49</v>
      </c>
      <c r="G268" s="5" t="s">
        <v>1192</v>
      </c>
      <c r="H268" s="5" t="s">
        <v>30</v>
      </c>
      <c r="I268" s="5" t="s">
        <v>52</v>
      </c>
      <c r="J268" s="5" t="s">
        <v>76</v>
      </c>
      <c r="K268" s="10" t="str">
        <f t="shared" si="1"/>
        <v>+6281283831886</v>
      </c>
      <c r="L268" s="10" t="str">
        <f>IFERROR(
VLOOKUP(
TRIM(
IF(ISNUMBER(FIND(",",E268)),
LEFT(E268,FIND(",",E268)-1),
E268
)
),
master!A:B,
2,
FALSE
),
"Belum ada mapping"
)
</f>
        <v>Jawa Barat</v>
      </c>
      <c r="M268" s="10">
        <f>IFERROR(__xludf.DUMMYFUNCTION("IF(REGEXMATCH(I268,""Cari Kerja""),1,0)
"),0.0)</f>
        <v>0</v>
      </c>
      <c r="N268" s="10">
        <f>IFERROR(__xludf.DUMMYFUNCTION("IF(REGEXMATCH(I268,""Upskill""),1,0)
"),1.0)</f>
        <v>1</v>
      </c>
      <c r="O268" s="10">
        <f>IFERROR(__xludf.DUMMYFUNCTION("IF(REGEXMATCH(I268,""Networking""),1,0)
"),1.0)</f>
        <v>1</v>
      </c>
      <c r="P268" s="10">
        <f>IFERROR(__xludf.DUMMYFUNCTION("IF(REGEXMATCH(I268,""Switch Career""),1,0)
"),1.0)</f>
        <v>1</v>
      </c>
    </row>
    <row r="269" ht="22.5" customHeight="1">
      <c r="A269" s="3">
        <v>46043.83348613426</v>
      </c>
      <c r="B269" s="5" t="s">
        <v>1193</v>
      </c>
      <c r="C269" s="5" t="s">
        <v>1194</v>
      </c>
      <c r="D269" s="4" t="s">
        <v>1195</v>
      </c>
      <c r="E269" s="5" t="s">
        <v>74</v>
      </c>
      <c r="F269" s="5" t="s">
        <v>20</v>
      </c>
      <c r="G269" s="5" t="s">
        <v>1196</v>
      </c>
      <c r="H269" s="5" t="s">
        <v>1197</v>
      </c>
      <c r="I269" s="5" t="s">
        <v>59</v>
      </c>
      <c r="J269" s="5" t="s">
        <v>38</v>
      </c>
      <c r="K269" s="6" t="str">
        <f t="shared" si="1"/>
        <v>08114605239</v>
      </c>
      <c r="L269" s="6" t="str">
        <f>IFERROR(
VLOOKUP(
TRIM(
IF(ISNUMBER(FIND(",",E269)),
LEFT(E269,FIND(",",E269)-1),
E269
)
),
master!A:B,
2,
FALSE
),
"Belum ada mapping"
)
</f>
        <v>Banten</v>
      </c>
      <c r="M269" s="6">
        <f>IFERROR(__xludf.DUMMYFUNCTION("IF(REGEXMATCH(I269,""Cari Kerja""),1,0)
"),0.0)</f>
        <v>0</v>
      </c>
      <c r="N269" s="6">
        <f>IFERROR(__xludf.DUMMYFUNCTION("IF(REGEXMATCH(I269,""Upskill""),1,0)
"),1.0)</f>
        <v>1</v>
      </c>
      <c r="O269" s="6">
        <f>IFERROR(__xludf.DUMMYFUNCTION("IF(REGEXMATCH(I269,""Networking""),1,0)
"),1.0)</f>
        <v>1</v>
      </c>
      <c r="P269" s="6">
        <f>IFERROR(__xludf.DUMMYFUNCTION("IF(REGEXMATCH(I269,""Switch Career""),1,0)
"),0.0)</f>
        <v>0</v>
      </c>
    </row>
    <row r="270" ht="22.5" customHeight="1">
      <c r="A270" s="7">
        <v>46040.35649484953</v>
      </c>
      <c r="B270" s="8" t="s">
        <v>1198</v>
      </c>
      <c r="C270" s="8" t="s">
        <v>1199</v>
      </c>
      <c r="D270" s="9" t="s">
        <v>1200</v>
      </c>
      <c r="E270" s="8" t="s">
        <v>1201</v>
      </c>
      <c r="F270" s="8" t="s">
        <v>20</v>
      </c>
      <c r="G270" s="8" t="s">
        <v>1202</v>
      </c>
      <c r="H270" s="8" t="s">
        <v>51</v>
      </c>
      <c r="I270" s="8" t="s">
        <v>23</v>
      </c>
      <c r="J270" s="8" t="s">
        <v>24</v>
      </c>
      <c r="K270" s="6" t="str">
        <f t="shared" si="1"/>
        <v>0895602384810</v>
      </c>
      <c r="L270" s="6" t="str">
        <f>IFERROR(
VLOOKUP(
TRIM(
IF(ISNUMBER(FIND(",",E270)),
LEFT(E270,FIND(",",E270)-1),
E270
)
),
master!A:B,
2,
FALSE
),
"Belum ada mapping"
)
</f>
        <v>Sumatera Barat</v>
      </c>
      <c r="M270" s="6">
        <f>IFERROR(__xludf.DUMMYFUNCTION("IF(REGEXMATCH(I270,""Cari Kerja""),1,0)
"),1.0)</f>
        <v>1</v>
      </c>
      <c r="N270" s="6">
        <f>IFERROR(__xludf.DUMMYFUNCTION("IF(REGEXMATCH(I270,""Upskill""),1,0)
"),1.0)</f>
        <v>1</v>
      </c>
      <c r="O270" s="6">
        <f>IFERROR(__xludf.DUMMYFUNCTION("IF(REGEXMATCH(I270,""Networking""),1,0)
"),1.0)</f>
        <v>1</v>
      </c>
      <c r="P270" s="6">
        <f>IFERROR(__xludf.DUMMYFUNCTION("IF(REGEXMATCH(I270,""Switch Career""),1,0)
"),0.0)</f>
        <v>0</v>
      </c>
    </row>
    <row r="271" ht="22.5" customHeight="1">
      <c r="A271" s="3">
        <v>46049.46133268518</v>
      </c>
      <c r="B271" s="5" t="s">
        <v>1203</v>
      </c>
      <c r="C271" s="5" t="s">
        <v>1204</v>
      </c>
      <c r="D271" s="4" t="s">
        <v>1205</v>
      </c>
      <c r="E271" s="5" t="s">
        <v>1206</v>
      </c>
      <c r="F271" s="5" t="s">
        <v>49</v>
      </c>
      <c r="G271" s="5" t="s">
        <v>1207</v>
      </c>
      <c r="H271" s="5" t="s">
        <v>1208</v>
      </c>
      <c r="I271" s="5" t="s">
        <v>59</v>
      </c>
      <c r="J271" s="5" t="s">
        <v>24</v>
      </c>
      <c r="K271" s="10" t="str">
        <f t="shared" si="1"/>
        <v>081901248700</v>
      </c>
      <c r="L271" s="10" t="str">
        <f>IFERROR(
VLOOKUP(
TRIM(
IF(ISNUMBER(FIND(",",E271)),
LEFT(E271,FIND(",",E271)-1),
E271
)
),
master!A:B,
2,
FALSE
),
"Belum ada mapping"
)
</f>
        <v>Kalimantan Barat</v>
      </c>
      <c r="M271" s="6">
        <f>IFERROR(__xludf.DUMMYFUNCTION("IF(REGEXMATCH(I271,""Cari Kerja""),1,0)
"),0.0)</f>
        <v>0</v>
      </c>
      <c r="N271" s="6">
        <f>IFERROR(__xludf.DUMMYFUNCTION("IF(REGEXMATCH(I271,""Upskill""),1,0)
"),1.0)</f>
        <v>1</v>
      </c>
      <c r="O271" s="6">
        <f>IFERROR(__xludf.DUMMYFUNCTION("IF(REGEXMATCH(I271,""Networking""),1,0)
"),1.0)</f>
        <v>1</v>
      </c>
      <c r="P271" s="6">
        <f>IFERROR(__xludf.DUMMYFUNCTION("IF(REGEXMATCH(I271,""Switch Career""),1,0)
"),0.0)</f>
        <v>0</v>
      </c>
    </row>
    <row r="272" ht="22.5" customHeight="1">
      <c r="A272" s="3">
        <v>46046.58078908565</v>
      </c>
      <c r="B272" s="5" t="s">
        <v>1209</v>
      </c>
      <c r="C272" s="5" t="s">
        <v>1210</v>
      </c>
      <c r="D272" s="4" t="s">
        <v>1211</v>
      </c>
      <c r="E272" s="5" t="s">
        <v>48</v>
      </c>
      <c r="F272" s="5" t="s">
        <v>49</v>
      </c>
      <c r="G272" s="5" t="s">
        <v>1212</v>
      </c>
      <c r="H272" s="5" t="s">
        <v>1213</v>
      </c>
      <c r="I272" s="5" t="s">
        <v>59</v>
      </c>
      <c r="J272" s="5" t="s">
        <v>24</v>
      </c>
      <c r="K272" s="6" t="str">
        <f t="shared" si="1"/>
        <v>0895417300520</v>
      </c>
      <c r="L272" s="6" t="str">
        <f>IFERROR(
VLOOKUP(
TRIM(
IF(ISNUMBER(FIND(",",E272)),
LEFT(E272,FIND(",",E272)-1),
E272
)
),
master!A:B,
2,
FALSE
),
"Belum ada mapping"
)
</f>
        <v>DI Yogyakarta</v>
      </c>
      <c r="M272" s="6">
        <f>IFERROR(__xludf.DUMMYFUNCTION("IF(REGEXMATCH(I272,""Cari Kerja""),1,0)
"),0.0)</f>
        <v>0</v>
      </c>
      <c r="N272" s="6">
        <f>IFERROR(__xludf.DUMMYFUNCTION("IF(REGEXMATCH(I272,""Upskill""),1,0)
"),1.0)</f>
        <v>1</v>
      </c>
      <c r="O272" s="6">
        <f>IFERROR(__xludf.DUMMYFUNCTION("IF(REGEXMATCH(I272,""Networking""),1,0)
"),1.0)</f>
        <v>1</v>
      </c>
      <c r="P272" s="6">
        <f>IFERROR(__xludf.DUMMYFUNCTION("IF(REGEXMATCH(I272,""Switch Career""),1,0)
"),0.0)</f>
        <v>0</v>
      </c>
    </row>
    <row r="273" ht="22.5" customHeight="1">
      <c r="A273" s="3">
        <v>46048.91671293981</v>
      </c>
      <c r="B273" s="5" t="s">
        <v>1214</v>
      </c>
      <c r="C273" s="5" t="s">
        <v>1215</v>
      </c>
      <c r="D273" s="4" t="s">
        <v>1216</v>
      </c>
      <c r="E273" s="5" t="s">
        <v>28</v>
      </c>
      <c r="F273" s="5" t="s">
        <v>20</v>
      </c>
      <c r="G273" s="5" t="s">
        <v>69</v>
      </c>
      <c r="H273" s="5" t="s">
        <v>225</v>
      </c>
      <c r="I273" s="5" t="s">
        <v>23</v>
      </c>
      <c r="J273" s="5" t="s">
        <v>24</v>
      </c>
      <c r="K273" s="6" t="str">
        <f t="shared" si="1"/>
        <v>081268175206</v>
      </c>
      <c r="L273" s="6" t="str">
        <f>IFERROR(
VLOOKUP(
TRIM(
IF(ISNUMBER(FIND(",",E273)),
LEFT(E273,FIND(",",E273)-1),
E273
)
),
master!A:B,
2,
FALSE
),
"Belum ada mapping"
)
</f>
        <v>Sumatera Barat</v>
      </c>
      <c r="M273" s="6">
        <f>IFERROR(__xludf.DUMMYFUNCTION("IF(REGEXMATCH(I273,""Cari Kerja""),1,0)
"),1.0)</f>
        <v>1</v>
      </c>
      <c r="N273" s="6">
        <f>IFERROR(__xludf.DUMMYFUNCTION("IF(REGEXMATCH(I273,""Upskill""),1,0)
"),1.0)</f>
        <v>1</v>
      </c>
      <c r="O273" s="6">
        <f>IFERROR(__xludf.DUMMYFUNCTION("IF(REGEXMATCH(I273,""Networking""),1,0)
"),1.0)</f>
        <v>1</v>
      </c>
      <c r="P273" s="6">
        <f>IFERROR(__xludf.DUMMYFUNCTION("IF(REGEXMATCH(I273,""Switch Career""),1,0)
"),0.0)</f>
        <v>0</v>
      </c>
    </row>
    <row r="274" ht="22.5" customHeight="1">
      <c r="A274" s="7">
        <v>46040.449463171295</v>
      </c>
      <c r="B274" s="8" t="s">
        <v>1217</v>
      </c>
      <c r="C274" s="8" t="s">
        <v>1218</v>
      </c>
      <c r="D274" s="9" t="s">
        <v>1219</v>
      </c>
      <c r="E274" s="8" t="s">
        <v>74</v>
      </c>
      <c r="F274" s="8" t="s">
        <v>49</v>
      </c>
      <c r="G274" s="8" t="s">
        <v>1220</v>
      </c>
      <c r="H274" s="8" t="s">
        <v>950</v>
      </c>
      <c r="I274" s="8" t="s">
        <v>15</v>
      </c>
      <c r="J274" s="8" t="s">
        <v>24</v>
      </c>
      <c r="K274" s="6" t="str">
        <f t="shared" si="1"/>
        <v>081916663376</v>
      </c>
      <c r="L274" s="6" t="str">
        <f>IFERROR(
VLOOKUP(
TRIM(
IF(ISNUMBER(FIND(",",E274)),
LEFT(E274,FIND(",",E274)-1),
E274
)
),
master!A:B,
2,
FALSE
),
"Belum ada mapping"
)
</f>
        <v>Banten</v>
      </c>
      <c r="M274" s="6">
        <f>IFERROR(__xludf.DUMMYFUNCTION("IF(REGEXMATCH(I274,""Cari Kerja""),1,0)
"),0.0)</f>
        <v>0</v>
      </c>
      <c r="N274" s="6">
        <f>IFERROR(__xludf.DUMMYFUNCTION("IF(REGEXMATCH(I274,""Upskill""),1,0)
"),0.0)</f>
        <v>0</v>
      </c>
      <c r="O274" s="6">
        <f>IFERROR(__xludf.DUMMYFUNCTION("IF(REGEXMATCH(I274,""Networking""),1,0)
"),0.0)</f>
        <v>0</v>
      </c>
      <c r="P274" s="6">
        <f>IFERROR(__xludf.DUMMYFUNCTION("IF(REGEXMATCH(I274,""Switch Career""),1,0)
"),1.0)</f>
        <v>1</v>
      </c>
    </row>
    <row r="275" ht="22.5" customHeight="1">
      <c r="A275" s="7">
        <v>46040.35963552083</v>
      </c>
      <c r="B275" s="8" t="s">
        <v>1221</v>
      </c>
      <c r="C275" s="8" t="s">
        <v>1222</v>
      </c>
      <c r="D275" s="9" t="s">
        <v>1223</v>
      </c>
      <c r="E275" s="8" t="s">
        <v>1224</v>
      </c>
      <c r="F275" s="8" t="s">
        <v>20</v>
      </c>
      <c r="G275" s="8" t="s">
        <v>1225</v>
      </c>
      <c r="H275" s="8" t="s">
        <v>51</v>
      </c>
      <c r="I275" s="8" t="s">
        <v>31</v>
      </c>
      <c r="J275" s="8" t="s">
        <v>24</v>
      </c>
      <c r="K275" s="6" t="str">
        <f t="shared" si="1"/>
        <v>082197176118</v>
      </c>
      <c r="L275" s="6" t="str">
        <f>IFERROR(
VLOOKUP(
TRIM(
IF(ISNUMBER(FIND(",",E275)),
LEFT(E275,FIND(",",E275)-1),
E275
)
),
master!A:B,
2,
FALSE
),
"Belum ada mapping"
)
</f>
        <v>Sulawesi Tenggara</v>
      </c>
      <c r="M275" s="6">
        <f>IFERROR(__xludf.DUMMYFUNCTION("IF(REGEXMATCH(I275,""Cari Kerja""),1,0)
"),1.0)</f>
        <v>1</v>
      </c>
      <c r="N275" s="6">
        <f>IFERROR(__xludf.DUMMYFUNCTION("IF(REGEXMATCH(I275,""Upskill""),1,0)
"),1.0)</f>
        <v>1</v>
      </c>
      <c r="O275" s="6">
        <f>IFERROR(__xludf.DUMMYFUNCTION("IF(REGEXMATCH(I275,""Networking""),1,0)
"),1.0)</f>
        <v>1</v>
      </c>
      <c r="P275" s="6">
        <f>IFERROR(__xludf.DUMMYFUNCTION("IF(REGEXMATCH(I275,""Switch Career""),1,0)
"),1.0)</f>
        <v>1</v>
      </c>
    </row>
    <row r="276" ht="22.5" customHeight="1">
      <c r="A276" s="7">
        <v>46040.529940520835</v>
      </c>
      <c r="B276" s="8" t="s">
        <v>1226</v>
      </c>
      <c r="C276" s="8" t="s">
        <v>1227</v>
      </c>
      <c r="D276" s="9" t="s">
        <v>1228</v>
      </c>
      <c r="E276" s="8" t="s">
        <v>122</v>
      </c>
      <c r="F276" s="8" t="s">
        <v>49</v>
      </c>
      <c r="G276" s="8" t="s">
        <v>1229</v>
      </c>
      <c r="H276" s="8" t="s">
        <v>606</v>
      </c>
      <c r="I276" s="8" t="s">
        <v>968</v>
      </c>
      <c r="J276" s="8" t="s">
        <v>24</v>
      </c>
      <c r="K276" s="6" t="str">
        <f t="shared" si="1"/>
        <v>082193043944</v>
      </c>
      <c r="L276" s="6" t="str">
        <f>IFERROR(
VLOOKUP(
TRIM(
IF(ISNUMBER(FIND(",",E276)),
LEFT(E276,FIND(",",E276)-1),
E276
)
),
master!A:B,
2,
FALSE
),
"Belum ada mapping"
)
</f>
        <v>Sulawesi Selatan</v>
      </c>
      <c r="M276" s="6">
        <f>IFERROR(__xludf.DUMMYFUNCTION("IF(REGEXMATCH(I276,""Cari Kerja""),1,0)
"),1.0)</f>
        <v>1</v>
      </c>
      <c r="N276" s="6">
        <f>IFERROR(__xludf.DUMMYFUNCTION("IF(REGEXMATCH(I276,""Upskill""),1,0)
"),0.0)</f>
        <v>0</v>
      </c>
      <c r="O276" s="6">
        <f>IFERROR(__xludf.DUMMYFUNCTION("IF(REGEXMATCH(I276,""Networking""),1,0)
"),0.0)</f>
        <v>0</v>
      </c>
      <c r="P276" s="6">
        <f>IFERROR(__xludf.DUMMYFUNCTION("IF(REGEXMATCH(I276,""Switch Career""),1,0)
"),1.0)</f>
        <v>1</v>
      </c>
    </row>
    <row r="277" ht="22.5" customHeight="1">
      <c r="A277" s="3">
        <v>46044.8776458912</v>
      </c>
      <c r="B277" s="5" t="s">
        <v>1230</v>
      </c>
      <c r="C277" s="5" t="s">
        <v>1231</v>
      </c>
      <c r="D277" s="4" t="s">
        <v>1232</v>
      </c>
      <c r="E277" s="5" t="s">
        <v>97</v>
      </c>
      <c r="F277" s="5" t="s">
        <v>20</v>
      </c>
      <c r="G277" s="5" t="s">
        <v>1233</v>
      </c>
      <c r="H277" s="5" t="s">
        <v>1234</v>
      </c>
      <c r="I277" s="5" t="s">
        <v>23</v>
      </c>
      <c r="J277" s="5" t="s">
        <v>24</v>
      </c>
      <c r="K277" s="6" t="str">
        <f t="shared" si="1"/>
        <v>082123370220</v>
      </c>
      <c r="L277" s="6" t="str">
        <f>IFERROR(
VLOOKUP(
TRIM(
IF(ISNUMBER(FIND(",",E277)),
LEFT(E277,FIND(",",E277)-1),
E277
)
),
master!A:B,
2,
FALSE
),
"Belum ada mapping"
)
</f>
        <v>Jakarta</v>
      </c>
      <c r="M277" s="6">
        <f>IFERROR(__xludf.DUMMYFUNCTION("IF(REGEXMATCH(I277,""Cari Kerja""),1,0)
"),1.0)</f>
        <v>1</v>
      </c>
      <c r="N277" s="6">
        <f>IFERROR(__xludf.DUMMYFUNCTION("IF(REGEXMATCH(I277,""Upskill""),1,0)
"),1.0)</f>
        <v>1</v>
      </c>
      <c r="O277" s="6">
        <f>IFERROR(__xludf.DUMMYFUNCTION("IF(REGEXMATCH(I277,""Networking""),1,0)
"),1.0)</f>
        <v>1</v>
      </c>
      <c r="P277" s="6">
        <f>IFERROR(__xludf.DUMMYFUNCTION("IF(REGEXMATCH(I277,""Switch Career""),1,0)
"),0.0)</f>
        <v>0</v>
      </c>
    </row>
    <row r="278" ht="22.5" customHeight="1">
      <c r="A278" s="7">
        <v>46041.364937453705</v>
      </c>
      <c r="B278" s="8" t="s">
        <v>1235</v>
      </c>
      <c r="C278" s="8" t="s">
        <v>1235</v>
      </c>
      <c r="D278" s="9" t="s">
        <v>1236</v>
      </c>
      <c r="E278" s="8" t="s">
        <v>1237</v>
      </c>
      <c r="F278" s="8" t="s">
        <v>49</v>
      </c>
      <c r="G278" s="8" t="s">
        <v>1238</v>
      </c>
      <c r="H278" s="8" t="s">
        <v>51</v>
      </c>
      <c r="I278" s="8" t="s">
        <v>31</v>
      </c>
      <c r="J278" s="8" t="s">
        <v>24</v>
      </c>
      <c r="K278" s="6" t="str">
        <f t="shared" si="1"/>
        <v>085313114422</v>
      </c>
      <c r="L278" s="6" t="str">
        <f>IFERROR(
VLOOKUP(
TRIM(
IF(ISNUMBER(FIND(",",E278)),
LEFT(E278,FIND(",",E278)-1),
E278
)
),
master!A:B,
2,
FALSE
),
"Belum ada mapping"
)
</f>
        <v>Sumatera Utara</v>
      </c>
      <c r="M278" s="6">
        <f>IFERROR(__xludf.DUMMYFUNCTION("IF(REGEXMATCH(I278,""Cari Kerja""),1,0)
"),1.0)</f>
        <v>1</v>
      </c>
      <c r="N278" s="6">
        <f>IFERROR(__xludf.DUMMYFUNCTION("IF(REGEXMATCH(I278,""Upskill""),1,0)
"),1.0)</f>
        <v>1</v>
      </c>
      <c r="O278" s="6">
        <f>IFERROR(__xludf.DUMMYFUNCTION("IF(REGEXMATCH(I278,""Networking""),1,0)
"),1.0)</f>
        <v>1</v>
      </c>
      <c r="P278" s="6">
        <f>IFERROR(__xludf.DUMMYFUNCTION("IF(REGEXMATCH(I278,""Switch Career""),1,0)
"),1.0)</f>
        <v>1</v>
      </c>
    </row>
    <row r="279" ht="22.5" customHeight="1">
      <c r="A279" s="3">
        <v>46064.40023951389</v>
      </c>
      <c r="B279" s="5" t="s">
        <v>1239</v>
      </c>
      <c r="C279" s="5" t="s">
        <v>1240</v>
      </c>
      <c r="D279" s="4" t="s">
        <v>1241</v>
      </c>
      <c r="E279" s="5" t="s">
        <v>218</v>
      </c>
      <c r="F279" s="5" t="s">
        <v>49</v>
      </c>
      <c r="G279" s="5" t="s">
        <v>1242</v>
      </c>
      <c r="H279" s="5" t="s">
        <v>346</v>
      </c>
      <c r="I279" s="5" t="s">
        <v>31</v>
      </c>
      <c r="J279" s="5" t="s">
        <v>24</v>
      </c>
      <c r="K279" s="10" t="str">
        <f t="shared" si="1"/>
        <v>085778475279</v>
      </c>
      <c r="L279" s="10" t="str">
        <f>IFERROR(
VLOOKUP(
TRIM(
IF(ISNUMBER(FIND(",",E279)),
LEFT(E279,FIND(",",E279)-1),
E279
)
),
master!A:B,
2,
FALSE
),
"Belum ada mapping"
)
</f>
        <v>Banten</v>
      </c>
      <c r="M279" s="10">
        <f>IFERROR(__xludf.DUMMYFUNCTION("IF(REGEXMATCH(I279,""Cari Kerja""),1,0)
"),1.0)</f>
        <v>1</v>
      </c>
      <c r="N279" s="10">
        <f>IFERROR(__xludf.DUMMYFUNCTION("IF(REGEXMATCH(I279,""Upskill""),1,0)
"),1.0)</f>
        <v>1</v>
      </c>
      <c r="O279" s="10">
        <f>IFERROR(__xludf.DUMMYFUNCTION("IF(REGEXMATCH(I279,""Networking""),1,0)
"),1.0)</f>
        <v>1</v>
      </c>
      <c r="P279" s="10">
        <f>IFERROR(__xludf.DUMMYFUNCTION("IF(REGEXMATCH(I279,""Switch Career""),1,0)
"),1.0)</f>
        <v>1</v>
      </c>
    </row>
    <row r="280" ht="22.5" customHeight="1">
      <c r="A280" s="3">
        <v>46043.42922614583</v>
      </c>
      <c r="B280" s="5" t="s">
        <v>1243</v>
      </c>
      <c r="C280" s="5" t="s">
        <v>1244</v>
      </c>
      <c r="D280" s="4" t="s">
        <v>1245</v>
      </c>
      <c r="E280" s="5" t="s">
        <v>266</v>
      </c>
      <c r="F280" s="5" t="s">
        <v>20</v>
      </c>
      <c r="G280" s="5" t="s">
        <v>1246</v>
      </c>
      <c r="H280" s="5" t="s">
        <v>176</v>
      </c>
      <c r="I280" s="5" t="s">
        <v>13</v>
      </c>
      <c r="J280" s="5" t="s">
        <v>38</v>
      </c>
      <c r="K280" s="6" t="str">
        <f t="shared" si="1"/>
        <v>085728952498</v>
      </c>
      <c r="L280" s="6" t="str">
        <f>IFERROR(
VLOOKUP(
TRIM(
IF(ISNUMBER(FIND(",",E280)),
LEFT(E280,FIND(",",E280)-1),
E280
)
),
master!A:B,
2,
FALSE
),
"Belum ada mapping"
)
</f>
        <v>Jawa Tengah</v>
      </c>
      <c r="M280" s="6">
        <f>IFERROR(__xludf.DUMMYFUNCTION("IF(REGEXMATCH(I280,""Cari Kerja""),1,0)
"),0.0)</f>
        <v>0</v>
      </c>
      <c r="N280" s="6">
        <f>IFERROR(__xludf.DUMMYFUNCTION("IF(REGEXMATCH(I280,""Upskill""),1,0)
"),1.0)</f>
        <v>1</v>
      </c>
      <c r="O280" s="6">
        <f>IFERROR(__xludf.DUMMYFUNCTION("IF(REGEXMATCH(I280,""Networking""),1,0)
"),0.0)</f>
        <v>0</v>
      </c>
      <c r="P280" s="6">
        <f>IFERROR(__xludf.DUMMYFUNCTION("IF(REGEXMATCH(I280,""Switch Career""),1,0)
"),0.0)</f>
        <v>0</v>
      </c>
    </row>
    <row r="281" ht="22.5" customHeight="1">
      <c r="A281" s="3">
        <v>46046.427160046296</v>
      </c>
      <c r="B281" s="5" t="s">
        <v>1247</v>
      </c>
      <c r="C281" s="5" t="s">
        <v>1248</v>
      </c>
      <c r="D281" s="4" t="s">
        <v>1249</v>
      </c>
      <c r="E281" s="5" t="s">
        <v>1250</v>
      </c>
      <c r="F281" s="5" t="s">
        <v>49</v>
      </c>
      <c r="G281" s="5" t="s">
        <v>1251</v>
      </c>
      <c r="H281" s="5" t="s">
        <v>51</v>
      </c>
      <c r="I281" s="5" t="s">
        <v>52</v>
      </c>
      <c r="J281" s="5" t="s">
        <v>24</v>
      </c>
      <c r="K281" s="6" t="str">
        <f t="shared" si="1"/>
        <v>085314831650</v>
      </c>
      <c r="L281" s="6" t="str">
        <f>IFERROR(
VLOOKUP(
TRIM(
IF(ISNUMBER(FIND(",",E281)),
LEFT(E281,FIND(",",E281)-1),
E281
)
),
master!A:B,
2,
FALSE
),
"Belum ada mapping"
)
</f>
        <v>Jawa Barat</v>
      </c>
      <c r="M281" s="6">
        <f>IFERROR(__xludf.DUMMYFUNCTION("IF(REGEXMATCH(I281,""Cari Kerja""),1,0)
"),0.0)</f>
        <v>0</v>
      </c>
      <c r="N281" s="6">
        <f>IFERROR(__xludf.DUMMYFUNCTION("IF(REGEXMATCH(I281,""Upskill""),1,0)
"),1.0)</f>
        <v>1</v>
      </c>
      <c r="O281" s="6">
        <f>IFERROR(__xludf.DUMMYFUNCTION("IF(REGEXMATCH(I281,""Networking""),1,0)
"),1.0)</f>
        <v>1</v>
      </c>
      <c r="P281" s="6">
        <f>IFERROR(__xludf.DUMMYFUNCTION("IF(REGEXMATCH(I281,""Switch Career""),1,0)
"),1.0)</f>
        <v>1</v>
      </c>
    </row>
    <row r="282" ht="22.5" customHeight="1">
      <c r="A282" s="3">
        <v>46121.61809096065</v>
      </c>
      <c r="B282" s="5" t="s">
        <v>1252</v>
      </c>
      <c r="C282" s="5" t="s">
        <v>1253</v>
      </c>
      <c r="D282" s="4" t="s">
        <v>1254</v>
      </c>
      <c r="E282" s="5" t="s">
        <v>74</v>
      </c>
      <c r="F282" s="5" t="s">
        <v>49</v>
      </c>
      <c r="G282" s="5" t="s">
        <v>1255</v>
      </c>
      <c r="H282" s="5" t="s">
        <v>1256</v>
      </c>
      <c r="I282" s="5" t="s">
        <v>968</v>
      </c>
      <c r="J282" s="5" t="s">
        <v>76</v>
      </c>
      <c r="K282" s="10" t="str">
        <f t="shared" si="1"/>
        <v>082115257721</v>
      </c>
      <c r="L282" s="10" t="str">
        <f>IFERROR(
VLOOKUP(
TRIM(
IF(ISNUMBER(FIND(",",E282)),
LEFT(E282,FIND(",",E282)-1),
E282
)
),
master!A:B,
2,
FALSE
),
"Belum ada mapping"
)
</f>
        <v>Banten</v>
      </c>
      <c r="M282" s="10">
        <f>IFERROR(__xludf.DUMMYFUNCTION("IF(REGEXMATCH(I282,""Cari Kerja""),1,0)
"),1.0)</f>
        <v>1</v>
      </c>
      <c r="N282" s="10">
        <f>IFERROR(__xludf.DUMMYFUNCTION("IF(REGEXMATCH(I282,""Upskill""),1,0)
"),0.0)</f>
        <v>0</v>
      </c>
      <c r="O282" s="10">
        <f>IFERROR(__xludf.DUMMYFUNCTION("IF(REGEXMATCH(I282,""Networking""),1,0)
"),0.0)</f>
        <v>0</v>
      </c>
      <c r="P282" s="10">
        <f>IFERROR(__xludf.DUMMYFUNCTION("IF(REGEXMATCH(I282,""Switch Career""),1,0)
"),1.0)</f>
        <v>1</v>
      </c>
    </row>
    <row r="283" ht="22.5" customHeight="1">
      <c r="A283" s="7">
        <v>46040.35312443287</v>
      </c>
      <c r="B283" s="8" t="s">
        <v>1257</v>
      </c>
      <c r="C283" s="8" t="s">
        <v>1258</v>
      </c>
      <c r="D283" s="9" t="s">
        <v>1259</v>
      </c>
      <c r="E283" s="8" t="s">
        <v>1260</v>
      </c>
      <c r="F283" s="8" t="s">
        <v>20</v>
      </c>
      <c r="G283" s="8" t="s">
        <v>21</v>
      </c>
      <c r="H283" s="8" t="s">
        <v>170</v>
      </c>
      <c r="I283" s="8" t="s">
        <v>13</v>
      </c>
      <c r="J283" s="8" t="s">
        <v>24</v>
      </c>
      <c r="K283" s="6" t="str">
        <f t="shared" si="1"/>
        <v>085768898157</v>
      </c>
      <c r="L283" s="6" t="str">
        <f>IFERROR(
VLOOKUP(
TRIM(
IF(ISNUMBER(FIND(",",E283)),
LEFT(E283,FIND(",",E283)-1),
E283
)
),
master!A:B,
2,
FALSE
),
"Belum ada mapping"
)
</f>
        <v>Jawa Barat</v>
      </c>
      <c r="M283" s="6">
        <f>IFERROR(__xludf.DUMMYFUNCTION("IF(REGEXMATCH(I283,""Cari Kerja""),1,0)
"),0.0)</f>
        <v>0</v>
      </c>
      <c r="N283" s="6">
        <f>IFERROR(__xludf.DUMMYFUNCTION("IF(REGEXMATCH(I283,""Upskill""),1,0)
"),1.0)</f>
        <v>1</v>
      </c>
      <c r="O283" s="6">
        <f>IFERROR(__xludf.DUMMYFUNCTION("IF(REGEXMATCH(I283,""Networking""),1,0)
"),0.0)</f>
        <v>0</v>
      </c>
      <c r="P283" s="6">
        <f>IFERROR(__xludf.DUMMYFUNCTION("IF(REGEXMATCH(I283,""Switch Career""),1,0)
"),0.0)</f>
        <v>0</v>
      </c>
    </row>
    <row r="284" ht="22.5" customHeight="1">
      <c r="A284" s="3">
        <v>46043.3357024537</v>
      </c>
      <c r="B284" s="5" t="s">
        <v>1261</v>
      </c>
      <c r="C284" s="5" t="s">
        <v>1262</v>
      </c>
      <c r="D284" s="4" t="s">
        <v>1263</v>
      </c>
      <c r="E284" s="5" t="s">
        <v>92</v>
      </c>
      <c r="F284" s="5" t="s">
        <v>49</v>
      </c>
      <c r="G284" s="5" t="s">
        <v>1264</v>
      </c>
      <c r="H284" s="5" t="s">
        <v>51</v>
      </c>
      <c r="I284" s="5" t="s">
        <v>52</v>
      </c>
      <c r="J284" s="5" t="s">
        <v>24</v>
      </c>
      <c r="K284" s="6" t="str">
        <f t="shared" si="1"/>
        <v>089660146391</v>
      </c>
      <c r="L284" s="6" t="str">
        <f>IFERROR(
VLOOKUP(
TRIM(
IF(ISNUMBER(FIND(",",E284)),
LEFT(E284,FIND(",",E284)-1),
E284
)
),
master!A:B,
2,
FALSE
),
"Belum ada mapping"
)
</f>
        <v>Jawa Barat</v>
      </c>
      <c r="M284" s="6">
        <f>IFERROR(__xludf.DUMMYFUNCTION("IF(REGEXMATCH(I284,""Cari Kerja""),1,0)
"),0.0)</f>
        <v>0</v>
      </c>
      <c r="N284" s="6">
        <f>IFERROR(__xludf.DUMMYFUNCTION("IF(REGEXMATCH(I284,""Upskill""),1,0)
"),1.0)</f>
        <v>1</v>
      </c>
      <c r="O284" s="6">
        <f>IFERROR(__xludf.DUMMYFUNCTION("IF(REGEXMATCH(I284,""Networking""),1,0)
"),1.0)</f>
        <v>1</v>
      </c>
      <c r="P284" s="6">
        <f>IFERROR(__xludf.DUMMYFUNCTION("IF(REGEXMATCH(I284,""Switch Career""),1,0)
"),1.0)</f>
        <v>1</v>
      </c>
    </row>
    <row r="285" ht="22.5" customHeight="1">
      <c r="A285" s="7">
        <v>46040.349715335644</v>
      </c>
      <c r="B285" s="8" t="s">
        <v>1265</v>
      </c>
      <c r="C285" s="8" t="s">
        <v>1266</v>
      </c>
      <c r="D285" s="9" t="s">
        <v>1267</v>
      </c>
      <c r="E285" s="8" t="s">
        <v>1010</v>
      </c>
      <c r="F285" s="8" t="s">
        <v>20</v>
      </c>
      <c r="G285" s="8" t="s">
        <v>1268</v>
      </c>
      <c r="H285" s="8" t="s">
        <v>82</v>
      </c>
      <c r="I285" s="8" t="s">
        <v>23</v>
      </c>
      <c r="J285" s="8" t="s">
        <v>24</v>
      </c>
      <c r="K285" s="6" t="str">
        <f t="shared" si="1"/>
        <v>088976050501</v>
      </c>
      <c r="L285" s="6" t="str">
        <f>IFERROR(
VLOOKUP(
TRIM(
IF(ISNUMBER(FIND(",",E285)),
LEFT(E285,FIND(",",E285)-1),
E285
)
),
master!A:B,
2,
FALSE
),
"Belum ada mapping"
)
</f>
        <v>Jawa Barat</v>
      </c>
      <c r="M285" s="6">
        <f>IFERROR(__xludf.DUMMYFUNCTION("IF(REGEXMATCH(I285,""Cari Kerja""),1,0)
"),1.0)</f>
        <v>1</v>
      </c>
      <c r="N285" s="6">
        <f>IFERROR(__xludf.DUMMYFUNCTION("IF(REGEXMATCH(I285,""Upskill""),1,0)
"),1.0)</f>
        <v>1</v>
      </c>
      <c r="O285" s="6">
        <f>IFERROR(__xludf.DUMMYFUNCTION("IF(REGEXMATCH(I285,""Networking""),1,0)
"),1.0)</f>
        <v>1</v>
      </c>
      <c r="P285" s="6">
        <f>IFERROR(__xludf.DUMMYFUNCTION("IF(REGEXMATCH(I285,""Switch Career""),1,0)
"),0.0)</f>
        <v>0</v>
      </c>
    </row>
    <row r="286" ht="22.5" customHeight="1">
      <c r="A286" s="3">
        <v>46048.91681199074</v>
      </c>
      <c r="B286" s="5" t="s">
        <v>1269</v>
      </c>
      <c r="C286" s="5" t="s">
        <v>1270</v>
      </c>
      <c r="D286" s="4" t="s">
        <v>1271</v>
      </c>
      <c r="E286" s="5" t="s">
        <v>151</v>
      </c>
      <c r="F286" s="5" t="s">
        <v>20</v>
      </c>
      <c r="G286" s="5" t="s">
        <v>1068</v>
      </c>
      <c r="H286" s="5" t="s">
        <v>209</v>
      </c>
      <c r="I286" s="5" t="s">
        <v>130</v>
      </c>
      <c r="J286" s="5" t="s">
        <v>24</v>
      </c>
      <c r="K286" s="6" t="str">
        <f t="shared" si="1"/>
        <v>082283599309</v>
      </c>
      <c r="L286" s="6" t="str">
        <f>IFERROR(
VLOOKUP(
TRIM(
IF(ISNUMBER(FIND(",",E286)),
LEFT(E286,FIND(",",E286)-1),
E286
)
),
master!A:B,
2,
FALSE
),
"Belum ada mapping"
)
</f>
        <v>Riau</v>
      </c>
      <c r="M286" s="6">
        <f>IFERROR(__xludf.DUMMYFUNCTION("IF(REGEXMATCH(I286,""Cari Kerja""),1,0)
"),1.0)</f>
        <v>1</v>
      </c>
      <c r="N286" s="6">
        <f>IFERROR(__xludf.DUMMYFUNCTION("IF(REGEXMATCH(I286,""Upskill""),1,0)
"),1.0)</f>
        <v>1</v>
      </c>
      <c r="O286" s="6">
        <f>IFERROR(__xludf.DUMMYFUNCTION("IF(REGEXMATCH(I286,""Networking""),1,0)
"),0.0)</f>
        <v>0</v>
      </c>
      <c r="P286" s="6">
        <f>IFERROR(__xludf.DUMMYFUNCTION("IF(REGEXMATCH(I286,""Switch Career""),1,0)
"),0.0)</f>
        <v>0</v>
      </c>
    </row>
    <row r="287" ht="22.5" customHeight="1">
      <c r="A287" s="3">
        <v>46042.41848582176</v>
      </c>
      <c r="B287" s="5" t="s">
        <v>1272</v>
      </c>
      <c r="C287" s="5" t="s">
        <v>1273</v>
      </c>
      <c r="D287" s="4" t="s">
        <v>1274</v>
      </c>
      <c r="E287" s="5" t="s">
        <v>1275</v>
      </c>
      <c r="F287" s="5" t="s">
        <v>20</v>
      </c>
      <c r="G287" s="5" t="s">
        <v>1276</v>
      </c>
      <c r="H287" s="5" t="s">
        <v>51</v>
      </c>
      <c r="I287" s="5" t="s">
        <v>23</v>
      </c>
      <c r="J287" s="5" t="s">
        <v>24</v>
      </c>
      <c r="K287" s="6" t="str">
        <f t="shared" si="1"/>
        <v>085155024565</v>
      </c>
      <c r="L287" s="6" t="str">
        <f>IFERROR(
VLOOKUP(
TRIM(
IF(ISNUMBER(FIND(",",E287)),
LEFT(E287,FIND(",",E287)-1),
E287
)
),
master!A:B,
2,
FALSE
),
"Belum ada mapping"
)
</f>
        <v>Jawa Barat</v>
      </c>
      <c r="M287" s="6">
        <f>IFERROR(__xludf.DUMMYFUNCTION("IF(REGEXMATCH(I287,""Cari Kerja""),1,0)
"),1.0)</f>
        <v>1</v>
      </c>
      <c r="N287" s="6">
        <f>IFERROR(__xludf.DUMMYFUNCTION("IF(REGEXMATCH(I287,""Upskill""),1,0)
"),1.0)</f>
        <v>1</v>
      </c>
      <c r="O287" s="6">
        <f>IFERROR(__xludf.DUMMYFUNCTION("IF(REGEXMATCH(I287,""Networking""),1,0)
"),1.0)</f>
        <v>1</v>
      </c>
      <c r="P287" s="6">
        <f>IFERROR(__xludf.DUMMYFUNCTION("IF(REGEXMATCH(I287,""Switch Career""),1,0)
"),0.0)</f>
        <v>0</v>
      </c>
    </row>
    <row r="288" ht="22.5" customHeight="1">
      <c r="A288" s="3">
        <v>46042.41231875</v>
      </c>
      <c r="B288" s="5" t="s">
        <v>1277</v>
      </c>
      <c r="C288" s="5" t="s">
        <v>1278</v>
      </c>
      <c r="D288" s="4" t="s">
        <v>1279</v>
      </c>
      <c r="E288" s="5" t="s">
        <v>1280</v>
      </c>
      <c r="F288" s="5" t="s">
        <v>49</v>
      </c>
      <c r="G288" s="5" t="s">
        <v>1281</v>
      </c>
      <c r="H288" s="5" t="s">
        <v>1282</v>
      </c>
      <c r="I288" s="5" t="s">
        <v>13</v>
      </c>
      <c r="J288" s="5" t="s">
        <v>24</v>
      </c>
      <c r="K288" s="6" t="str">
        <f t="shared" si="1"/>
        <v>082255147345</v>
      </c>
      <c r="L288" s="6" t="str">
        <f>IFERROR(
VLOOKUP(
TRIM(
IF(ISNUMBER(FIND(",",E288)),
LEFT(E288,FIND(",",E288)-1),
E288
)
),
master!A:B,
2,
FALSE
),
"Belum ada mapping"
)
</f>
        <v>Kalimantan Timur</v>
      </c>
      <c r="M288" s="6">
        <f>IFERROR(__xludf.DUMMYFUNCTION("IF(REGEXMATCH(I288,""Cari Kerja""),1,0)
"),0.0)</f>
        <v>0</v>
      </c>
      <c r="N288" s="6">
        <f>IFERROR(__xludf.DUMMYFUNCTION("IF(REGEXMATCH(I288,""Upskill""),1,0)
"),1.0)</f>
        <v>1</v>
      </c>
      <c r="O288" s="6">
        <f>IFERROR(__xludf.DUMMYFUNCTION("IF(REGEXMATCH(I288,""Networking""),1,0)
"),0.0)</f>
        <v>0</v>
      </c>
      <c r="P288" s="6">
        <f>IFERROR(__xludf.DUMMYFUNCTION("IF(REGEXMATCH(I288,""Switch Career""),1,0)
"),0.0)</f>
        <v>0</v>
      </c>
    </row>
    <row r="289" ht="22.5" customHeight="1">
      <c r="A289" s="3">
        <v>46134.83333043981</v>
      </c>
      <c r="B289" s="5" t="s">
        <v>1283</v>
      </c>
      <c r="C289" s="5" t="s">
        <v>1284</v>
      </c>
      <c r="D289" s="4" t="s">
        <v>1285</v>
      </c>
      <c r="E289" s="5" t="s">
        <v>92</v>
      </c>
      <c r="F289" s="5" t="s">
        <v>49</v>
      </c>
      <c r="G289" s="5" t="s">
        <v>1286</v>
      </c>
      <c r="H289" s="5" t="s">
        <v>51</v>
      </c>
      <c r="I289" s="5" t="s">
        <v>31</v>
      </c>
      <c r="J289" s="5" t="s">
        <v>38</v>
      </c>
      <c r="K289" s="10" t="str">
        <f t="shared" si="1"/>
        <v>081291240434</v>
      </c>
      <c r="L289" s="10" t="str">
        <f>IFERROR(
VLOOKUP(
TRIM(
IF(ISNUMBER(FIND(",",E289)),
LEFT(E289,FIND(",",E289)-1),
E289
)
),
master!A:B,
2,
FALSE
),
"Belum ada mapping"
)
</f>
        <v>Jawa Barat</v>
      </c>
      <c r="M289" s="10">
        <f>IFERROR(__xludf.DUMMYFUNCTION("IF(REGEXMATCH(I289,""Cari Kerja""),1,0)
"),1.0)</f>
        <v>1</v>
      </c>
      <c r="N289" s="10">
        <f>IFERROR(__xludf.DUMMYFUNCTION("IF(REGEXMATCH(I289,""Upskill""),1,0)
"),1.0)</f>
        <v>1</v>
      </c>
      <c r="O289" s="10">
        <f>IFERROR(__xludf.DUMMYFUNCTION("IF(REGEXMATCH(I289,""Networking""),1,0)
"),1.0)</f>
        <v>1</v>
      </c>
      <c r="P289" s="10">
        <f>IFERROR(__xludf.DUMMYFUNCTION("IF(REGEXMATCH(I289,""Switch Career""),1,0)
"),1.0)</f>
        <v>1</v>
      </c>
    </row>
    <row r="290" ht="22.5" customHeight="1">
      <c r="A290" s="7">
        <v>46040.52705351852</v>
      </c>
      <c r="B290" s="8" t="s">
        <v>1287</v>
      </c>
      <c r="C290" s="8" t="s">
        <v>1288</v>
      </c>
      <c r="D290" s="9" t="s">
        <v>1289</v>
      </c>
      <c r="E290" s="8" t="s">
        <v>158</v>
      </c>
      <c r="F290" s="8" t="s">
        <v>49</v>
      </c>
      <c r="G290" s="8" t="s">
        <v>1290</v>
      </c>
      <c r="H290" s="8" t="s">
        <v>51</v>
      </c>
      <c r="I290" s="8" t="s">
        <v>23</v>
      </c>
      <c r="J290" s="8" t="s">
        <v>24</v>
      </c>
      <c r="K290" s="6" t="str">
        <f t="shared" si="1"/>
        <v>085213567627</v>
      </c>
      <c r="L290" s="6" t="str">
        <f>IFERROR(
VLOOKUP(
TRIM(
IF(ISNUMBER(FIND(",",E290)),
LEFT(E290,FIND(",",E290)-1),
E290
)
),
master!A:B,
2,
FALSE
),
"Belum ada mapping"
)
</f>
        <v>Jawa Barat</v>
      </c>
      <c r="M290" s="6">
        <f>IFERROR(__xludf.DUMMYFUNCTION("IF(REGEXMATCH(I290,""Cari Kerja""),1,0)
"),1.0)</f>
        <v>1</v>
      </c>
      <c r="N290" s="6">
        <f>IFERROR(__xludf.DUMMYFUNCTION("IF(REGEXMATCH(I290,""Upskill""),1,0)
"),1.0)</f>
        <v>1</v>
      </c>
      <c r="O290" s="6">
        <f>IFERROR(__xludf.DUMMYFUNCTION("IF(REGEXMATCH(I290,""Networking""),1,0)
"),1.0)</f>
        <v>1</v>
      </c>
      <c r="P290" s="6">
        <f>IFERROR(__xludf.DUMMYFUNCTION("IF(REGEXMATCH(I290,""Switch Career""),1,0)
"),0.0)</f>
        <v>0</v>
      </c>
    </row>
    <row r="291" ht="22.5" customHeight="1">
      <c r="A291" s="7">
        <v>46040.62041466435</v>
      </c>
      <c r="B291" s="8" t="s">
        <v>1287</v>
      </c>
      <c r="C291" s="8" t="s">
        <v>1291</v>
      </c>
      <c r="D291" s="9" t="s">
        <v>1292</v>
      </c>
      <c r="E291" s="8" t="s">
        <v>158</v>
      </c>
      <c r="F291" s="8" t="s">
        <v>49</v>
      </c>
      <c r="G291" s="8" t="s">
        <v>1293</v>
      </c>
      <c r="H291" s="8" t="s">
        <v>1294</v>
      </c>
      <c r="I291" s="8" t="s">
        <v>23</v>
      </c>
      <c r="J291" s="8" t="s">
        <v>24</v>
      </c>
      <c r="K291" s="6" t="str">
        <f t="shared" si="1"/>
        <v>085213567267</v>
      </c>
      <c r="L291" s="6" t="str">
        <f>IFERROR(
VLOOKUP(
TRIM(
IF(ISNUMBER(FIND(",",E291)),
LEFT(E291,FIND(",",E291)-1),
E291
)
),
master!A:B,
2,
FALSE
),
"Belum ada mapping"
)
</f>
        <v>Jawa Barat</v>
      </c>
      <c r="M291" s="6">
        <f>IFERROR(__xludf.DUMMYFUNCTION("IF(REGEXMATCH(I291,""Cari Kerja""),1,0)
"),1.0)</f>
        <v>1</v>
      </c>
      <c r="N291" s="6">
        <f>IFERROR(__xludf.DUMMYFUNCTION("IF(REGEXMATCH(I291,""Upskill""),1,0)
"),1.0)</f>
        <v>1</v>
      </c>
      <c r="O291" s="6">
        <f>IFERROR(__xludf.DUMMYFUNCTION("IF(REGEXMATCH(I291,""Networking""),1,0)
"),1.0)</f>
        <v>1</v>
      </c>
      <c r="P291" s="6">
        <f>IFERROR(__xludf.DUMMYFUNCTION("IF(REGEXMATCH(I291,""Switch Career""),1,0)
"),0.0)</f>
        <v>0</v>
      </c>
    </row>
    <row r="292" ht="22.5" customHeight="1">
      <c r="A292" s="3">
        <v>46087.388811122684</v>
      </c>
      <c r="B292" s="5" t="s">
        <v>1295</v>
      </c>
      <c r="C292" s="5" t="s">
        <v>1296</v>
      </c>
      <c r="D292" s="4" t="s">
        <v>1297</v>
      </c>
      <c r="E292" s="5" t="s">
        <v>1298</v>
      </c>
      <c r="F292" s="5" t="s">
        <v>20</v>
      </c>
      <c r="G292" s="5" t="s">
        <v>780</v>
      </c>
      <c r="H292" s="5" t="s">
        <v>370</v>
      </c>
      <c r="I292" s="5" t="s">
        <v>109</v>
      </c>
      <c r="J292" s="5" t="s">
        <v>38</v>
      </c>
      <c r="K292" s="10" t="str">
        <f t="shared" si="1"/>
        <v>085784492325</v>
      </c>
      <c r="L292" s="10" t="str">
        <f>IFERROR(
VLOOKUP(
TRIM(
IF(ISNUMBER(FIND(",",E292)),
LEFT(E292,FIND(",",E292)-1),
E292
)
),
master!A:B,
2,
FALSE
),
"Belum ada mapping"
)
</f>
        <v>Jawa Timur</v>
      </c>
      <c r="M292" s="10">
        <f>IFERROR(__xludf.DUMMYFUNCTION("IF(REGEXMATCH(I292,""Cari Kerja""),1,0)
"),1.0)</f>
        <v>1</v>
      </c>
      <c r="N292" s="10">
        <f>IFERROR(__xludf.DUMMYFUNCTION("IF(REGEXMATCH(I292,""Upskill""),1,0)
"),0.0)</f>
        <v>0</v>
      </c>
      <c r="O292" s="10">
        <f>IFERROR(__xludf.DUMMYFUNCTION("IF(REGEXMATCH(I292,""Networking""),1,0)
"),1.0)</f>
        <v>1</v>
      </c>
      <c r="P292" s="10">
        <f>IFERROR(__xludf.DUMMYFUNCTION("IF(REGEXMATCH(I292,""Switch Career""),1,0)
"),0.0)</f>
        <v>0</v>
      </c>
    </row>
    <row r="293" ht="22.5" customHeight="1">
      <c r="A293" s="7">
        <v>46040.357597615744</v>
      </c>
      <c r="B293" s="8" t="s">
        <v>1299</v>
      </c>
      <c r="C293" s="8" t="s">
        <v>1300</v>
      </c>
      <c r="D293" s="9" t="s">
        <v>1301</v>
      </c>
      <c r="E293" s="8" t="s">
        <v>48</v>
      </c>
      <c r="F293" s="8" t="s">
        <v>20</v>
      </c>
      <c r="G293" s="8" t="s">
        <v>1302</v>
      </c>
      <c r="H293" s="8" t="s">
        <v>160</v>
      </c>
      <c r="I293" s="8" t="s">
        <v>23</v>
      </c>
      <c r="J293" s="8" t="s">
        <v>24</v>
      </c>
      <c r="K293" s="6" t="str">
        <f t="shared" si="1"/>
        <v>083109376438</v>
      </c>
      <c r="L293" s="6" t="str">
        <f>IFERROR(
VLOOKUP(
TRIM(
IF(ISNUMBER(FIND(",",E293)),
LEFT(E293,FIND(",",E293)-1),
E293
)
),
master!A:B,
2,
FALSE
),
"Belum ada mapping"
)
</f>
        <v>DI Yogyakarta</v>
      </c>
      <c r="M293" s="6">
        <f>IFERROR(__xludf.DUMMYFUNCTION("IF(REGEXMATCH(I293,""Cari Kerja""),1,0)
"),1.0)</f>
        <v>1</v>
      </c>
      <c r="N293" s="6">
        <f>IFERROR(__xludf.DUMMYFUNCTION("IF(REGEXMATCH(I293,""Upskill""),1,0)
"),1.0)</f>
        <v>1</v>
      </c>
      <c r="O293" s="6">
        <f>IFERROR(__xludf.DUMMYFUNCTION("IF(REGEXMATCH(I293,""Networking""),1,0)
"),1.0)</f>
        <v>1</v>
      </c>
      <c r="P293" s="6">
        <f>IFERROR(__xludf.DUMMYFUNCTION("IF(REGEXMATCH(I293,""Switch Career""),1,0)
"),0.0)</f>
        <v>0</v>
      </c>
    </row>
    <row r="294" ht="22.5" customHeight="1">
      <c r="A294" s="7">
        <v>46040.34884922454</v>
      </c>
      <c r="B294" s="8" t="s">
        <v>1303</v>
      </c>
      <c r="C294" s="8" t="s">
        <v>1304</v>
      </c>
      <c r="D294" s="9" t="s">
        <v>1305</v>
      </c>
      <c r="E294" s="8" t="s">
        <v>1306</v>
      </c>
      <c r="F294" s="8" t="s">
        <v>49</v>
      </c>
      <c r="G294" s="8" t="s">
        <v>1307</v>
      </c>
      <c r="H294" s="8" t="s">
        <v>93</v>
      </c>
      <c r="I294" s="8" t="s">
        <v>52</v>
      </c>
      <c r="J294" s="8" t="s">
        <v>24</v>
      </c>
      <c r="K294" s="6" t="str">
        <f t="shared" si="1"/>
        <v>089685015606</v>
      </c>
      <c r="L294" s="6" t="str">
        <f>IFERROR(
VLOOKUP(
TRIM(
IF(ISNUMBER(FIND(",",E294)),
LEFT(E294,FIND(",",E294)-1),
E294
)
),
master!A:B,
2,
FALSE
),
"Belum ada mapping"
)
</f>
        <v>Jawa Timur</v>
      </c>
      <c r="M294" s="6">
        <f>IFERROR(__xludf.DUMMYFUNCTION("IF(REGEXMATCH(I294,""Cari Kerja""),1,0)
"),0.0)</f>
        <v>0</v>
      </c>
      <c r="N294" s="6">
        <f>IFERROR(__xludf.DUMMYFUNCTION("IF(REGEXMATCH(I294,""Upskill""),1,0)
"),1.0)</f>
        <v>1</v>
      </c>
      <c r="O294" s="6">
        <f>IFERROR(__xludf.DUMMYFUNCTION("IF(REGEXMATCH(I294,""Networking""),1,0)
"),1.0)</f>
        <v>1</v>
      </c>
      <c r="P294" s="6">
        <f>IFERROR(__xludf.DUMMYFUNCTION("IF(REGEXMATCH(I294,""Switch Career""),1,0)
"),1.0)</f>
        <v>1</v>
      </c>
    </row>
    <row r="295" ht="22.5" customHeight="1">
      <c r="A295" s="3">
        <v>46121.62608534722</v>
      </c>
      <c r="B295" s="5" t="s">
        <v>1303</v>
      </c>
      <c r="C295" s="5" t="s">
        <v>1304</v>
      </c>
      <c r="D295" s="4" t="s">
        <v>1305</v>
      </c>
      <c r="E295" s="5" t="s">
        <v>596</v>
      </c>
      <c r="F295" s="5" t="s">
        <v>49</v>
      </c>
      <c r="G295" s="5" t="s">
        <v>1308</v>
      </c>
      <c r="H295" s="5" t="s">
        <v>709</v>
      </c>
      <c r="I295" s="5" t="s">
        <v>154</v>
      </c>
      <c r="J295" s="5" t="s">
        <v>24</v>
      </c>
      <c r="K295" s="10" t="str">
        <f t="shared" si="1"/>
        <v>089685015606</v>
      </c>
      <c r="L295" s="10" t="str">
        <f>IFERROR(
VLOOKUP(
TRIM(
IF(ISNUMBER(FIND(",",E295)),
LEFT(E295,FIND(",",E295)-1),
E295
)
),
master!A:B,
2,
FALSE
),
"Belum ada mapping"
)
</f>
        <v>Jawa Timur</v>
      </c>
      <c r="M295" s="10">
        <f>IFERROR(__xludf.DUMMYFUNCTION("IF(REGEXMATCH(I295,""Cari Kerja""),1,0)
"),0.0)</f>
        <v>0</v>
      </c>
      <c r="N295" s="10">
        <f>IFERROR(__xludf.DUMMYFUNCTION("IF(REGEXMATCH(I295,""Upskill""),1,0)
"),1.0)</f>
        <v>1</v>
      </c>
      <c r="O295" s="10">
        <f>IFERROR(__xludf.DUMMYFUNCTION("IF(REGEXMATCH(I295,""Networking""),1,0)
"),0.0)</f>
        <v>0</v>
      </c>
      <c r="P295" s="10">
        <f>IFERROR(__xludf.DUMMYFUNCTION("IF(REGEXMATCH(I295,""Switch Career""),1,0)
"),1.0)</f>
        <v>1</v>
      </c>
    </row>
    <row r="296" ht="22.5" customHeight="1">
      <c r="A296" s="3">
        <v>46042.37764013889</v>
      </c>
      <c r="B296" s="5" t="s">
        <v>1309</v>
      </c>
      <c r="C296" s="5" t="s">
        <v>1310</v>
      </c>
      <c r="D296" s="4" t="s">
        <v>1311</v>
      </c>
      <c r="E296" s="5" t="s">
        <v>158</v>
      </c>
      <c r="F296" s="5" t="s">
        <v>49</v>
      </c>
      <c r="G296" s="5" t="s">
        <v>1312</v>
      </c>
      <c r="H296" s="5" t="s">
        <v>51</v>
      </c>
      <c r="I296" s="5" t="s">
        <v>52</v>
      </c>
      <c r="J296" s="5" t="s">
        <v>24</v>
      </c>
      <c r="K296" s="6" t="str">
        <f t="shared" si="1"/>
        <v>085778441906</v>
      </c>
      <c r="L296" s="6" t="str">
        <f>IFERROR(
VLOOKUP(
TRIM(
IF(ISNUMBER(FIND(",",E296)),
LEFT(E296,FIND(",",E296)-1),
E296
)
),
master!A:B,
2,
FALSE
),
"Belum ada mapping"
)
</f>
        <v>Jawa Barat</v>
      </c>
      <c r="M296" s="6">
        <f>IFERROR(__xludf.DUMMYFUNCTION("IF(REGEXMATCH(I296,""Cari Kerja""),1,0)
"),0.0)</f>
        <v>0</v>
      </c>
      <c r="N296" s="6">
        <f>IFERROR(__xludf.DUMMYFUNCTION("IF(REGEXMATCH(I296,""Upskill""),1,0)
"),1.0)</f>
        <v>1</v>
      </c>
      <c r="O296" s="6">
        <f>IFERROR(__xludf.DUMMYFUNCTION("IF(REGEXMATCH(I296,""Networking""),1,0)
"),1.0)</f>
        <v>1</v>
      </c>
      <c r="P296" s="6">
        <f>IFERROR(__xludf.DUMMYFUNCTION("IF(REGEXMATCH(I296,""Switch Career""),1,0)
"),1.0)</f>
        <v>1</v>
      </c>
    </row>
    <row r="297" ht="22.5" customHeight="1">
      <c r="A297" s="3">
        <v>46047.56002884259</v>
      </c>
      <c r="B297" s="5" t="s">
        <v>1313</v>
      </c>
      <c r="C297" s="5" t="s">
        <v>1314</v>
      </c>
      <c r="D297" s="4" t="s">
        <v>1315</v>
      </c>
      <c r="E297" s="5" t="s">
        <v>207</v>
      </c>
      <c r="F297" s="5" t="s">
        <v>20</v>
      </c>
      <c r="G297" s="5" t="s">
        <v>69</v>
      </c>
      <c r="H297" s="5" t="s">
        <v>1316</v>
      </c>
      <c r="I297" s="5" t="s">
        <v>13</v>
      </c>
      <c r="J297" s="5" t="s">
        <v>24</v>
      </c>
      <c r="K297" s="6" t="str">
        <f t="shared" si="1"/>
        <v>081275845648</v>
      </c>
      <c r="L297" s="6" t="str">
        <f>IFERROR(
VLOOKUP(
TRIM(
IF(ISNUMBER(FIND(",",E297)),
LEFT(E297,FIND(",",E297)-1),
E297
)
),
master!A:B,
2,
FALSE
),
"Belum ada mapping"
)
</f>
        <v>Jakarta</v>
      </c>
      <c r="M297" s="6">
        <f>IFERROR(__xludf.DUMMYFUNCTION("IF(REGEXMATCH(I297,""Cari Kerja""),1,0)
"),0.0)</f>
        <v>0</v>
      </c>
      <c r="N297" s="6">
        <f>IFERROR(__xludf.DUMMYFUNCTION("IF(REGEXMATCH(I297,""Upskill""),1,0)
"),1.0)</f>
        <v>1</v>
      </c>
      <c r="O297" s="6">
        <f>IFERROR(__xludf.DUMMYFUNCTION("IF(REGEXMATCH(I297,""Networking""),1,0)
"),0.0)</f>
        <v>0</v>
      </c>
      <c r="P297" s="6">
        <f>IFERROR(__xludf.DUMMYFUNCTION("IF(REGEXMATCH(I297,""Switch Career""),1,0)
"),0.0)</f>
        <v>0</v>
      </c>
    </row>
    <row r="298" ht="22.5" customHeight="1">
      <c r="A298" s="3">
        <v>46041.426902430554</v>
      </c>
      <c r="B298" s="5" t="s">
        <v>1317</v>
      </c>
      <c r="C298" s="5" t="s">
        <v>1318</v>
      </c>
      <c r="D298" s="4" t="s">
        <v>1319</v>
      </c>
      <c r="E298" s="5" t="s">
        <v>1178</v>
      </c>
      <c r="F298" s="5" t="s">
        <v>20</v>
      </c>
      <c r="G298" s="5" t="s">
        <v>1320</v>
      </c>
      <c r="H298" s="5" t="s">
        <v>30</v>
      </c>
      <c r="I298" s="5" t="s">
        <v>130</v>
      </c>
      <c r="J298" s="5" t="s">
        <v>24</v>
      </c>
      <c r="K298" s="6" t="str">
        <f t="shared" si="1"/>
        <v>085862074192</v>
      </c>
      <c r="L298" s="6" t="str">
        <f>IFERROR(
VLOOKUP(
TRIM(
IF(ISNUMBER(FIND(",",E298)),
LEFT(E298,FIND(",",E298)-1),
E298
)
),
master!A:B,
2,
FALSE
),
"Belum ada mapping"
)
</f>
        <v>Jawa Barat</v>
      </c>
      <c r="M298" s="6">
        <f>IFERROR(__xludf.DUMMYFUNCTION("IF(REGEXMATCH(I298,""Cari Kerja""),1,0)
"),1.0)</f>
        <v>1</v>
      </c>
      <c r="N298" s="6">
        <f>IFERROR(__xludf.DUMMYFUNCTION("IF(REGEXMATCH(I298,""Upskill""),1,0)
"),1.0)</f>
        <v>1</v>
      </c>
      <c r="O298" s="6">
        <f>IFERROR(__xludf.DUMMYFUNCTION("IF(REGEXMATCH(I298,""Networking""),1,0)
"),0.0)</f>
        <v>0</v>
      </c>
      <c r="P298" s="6">
        <f>IFERROR(__xludf.DUMMYFUNCTION("IF(REGEXMATCH(I298,""Switch Career""),1,0)
"),0.0)</f>
        <v>0</v>
      </c>
    </row>
    <row r="299" ht="22.5" customHeight="1">
      <c r="A299" s="3">
        <v>46043.368467754626</v>
      </c>
      <c r="B299" s="5" t="s">
        <v>1321</v>
      </c>
      <c r="C299" s="5" t="s">
        <v>1322</v>
      </c>
      <c r="D299" s="4" t="s">
        <v>1323</v>
      </c>
      <c r="E299" s="5" t="s">
        <v>158</v>
      </c>
      <c r="F299" s="5" t="s">
        <v>49</v>
      </c>
      <c r="G299" s="5" t="s">
        <v>1324</v>
      </c>
      <c r="H299" s="5" t="s">
        <v>225</v>
      </c>
      <c r="I299" s="5" t="s">
        <v>31</v>
      </c>
      <c r="J299" s="5" t="s">
        <v>24</v>
      </c>
      <c r="K299" s="6" t="str">
        <f t="shared" si="1"/>
        <v>085155023577</v>
      </c>
      <c r="L299" s="6" t="str">
        <f>IFERROR(
VLOOKUP(
TRIM(
IF(ISNUMBER(FIND(",",E299)),
LEFT(E299,FIND(",",E299)-1),
E299
)
),
master!A:B,
2,
FALSE
),
"Belum ada mapping"
)
</f>
        <v>Jawa Barat</v>
      </c>
      <c r="M299" s="6">
        <f>IFERROR(__xludf.DUMMYFUNCTION("IF(REGEXMATCH(I299,""Cari Kerja""),1,0)
"),1.0)</f>
        <v>1</v>
      </c>
      <c r="N299" s="6">
        <f>IFERROR(__xludf.DUMMYFUNCTION("IF(REGEXMATCH(I299,""Upskill""),1,0)
"),1.0)</f>
        <v>1</v>
      </c>
      <c r="O299" s="6">
        <f>IFERROR(__xludf.DUMMYFUNCTION("IF(REGEXMATCH(I299,""Networking""),1,0)
"),1.0)</f>
        <v>1</v>
      </c>
      <c r="P299" s="6">
        <f>IFERROR(__xludf.DUMMYFUNCTION("IF(REGEXMATCH(I299,""Switch Career""),1,0)
"),1.0)</f>
        <v>1</v>
      </c>
    </row>
    <row r="300" ht="22.5" customHeight="1">
      <c r="A300" s="7">
        <v>46041.41893508102</v>
      </c>
      <c r="B300" s="8" t="s">
        <v>1325</v>
      </c>
      <c r="C300" s="8" t="s">
        <v>1326</v>
      </c>
      <c r="D300" s="9" t="s">
        <v>1327</v>
      </c>
      <c r="E300" s="8" t="s">
        <v>35</v>
      </c>
      <c r="F300" s="8" t="s">
        <v>49</v>
      </c>
      <c r="G300" s="8" t="s">
        <v>69</v>
      </c>
      <c r="H300" s="8" t="s">
        <v>170</v>
      </c>
      <c r="I300" s="8" t="s">
        <v>13</v>
      </c>
      <c r="J300" s="8" t="s">
        <v>24</v>
      </c>
      <c r="K300" s="6" t="str">
        <f t="shared" si="1"/>
        <v>082244005644</v>
      </c>
      <c r="L300" s="6" t="str">
        <f>IFERROR(
VLOOKUP(
TRIM(
IF(ISNUMBER(FIND(",",E300)),
LEFT(E300,FIND(",",E300)-1),
E300
)
),
master!A:B,
2,
FALSE
),
"Belum ada mapping"
)
</f>
        <v>Jawa Timur</v>
      </c>
      <c r="M300" s="6">
        <f>IFERROR(__xludf.DUMMYFUNCTION("IF(REGEXMATCH(I300,""Cari Kerja""),1,0)
"),0.0)</f>
        <v>0</v>
      </c>
      <c r="N300" s="6">
        <f>IFERROR(__xludf.DUMMYFUNCTION("IF(REGEXMATCH(I300,""Upskill""),1,0)
"),1.0)</f>
        <v>1</v>
      </c>
      <c r="O300" s="6">
        <f>IFERROR(__xludf.DUMMYFUNCTION("IF(REGEXMATCH(I300,""Networking""),1,0)
"),0.0)</f>
        <v>0</v>
      </c>
      <c r="P300" s="6">
        <f>IFERROR(__xludf.DUMMYFUNCTION("IF(REGEXMATCH(I300,""Switch Career""),1,0)
"),0.0)</f>
        <v>0</v>
      </c>
    </row>
    <row r="301" ht="22.5" customHeight="1">
      <c r="A301" s="7">
        <v>46040.44721908565</v>
      </c>
      <c r="B301" s="8" t="s">
        <v>1328</v>
      </c>
      <c r="C301" s="8" t="s">
        <v>1329</v>
      </c>
      <c r="D301" s="9" t="s">
        <v>1330</v>
      </c>
      <c r="E301" s="8" t="s">
        <v>218</v>
      </c>
      <c r="F301" s="8" t="s">
        <v>20</v>
      </c>
      <c r="G301" s="8" t="s">
        <v>1331</v>
      </c>
      <c r="H301" s="8" t="s">
        <v>37</v>
      </c>
      <c r="I301" s="8" t="s">
        <v>23</v>
      </c>
      <c r="J301" s="8" t="s">
        <v>24</v>
      </c>
      <c r="K301" s="6" t="str">
        <f t="shared" si="1"/>
        <v>082122627336</v>
      </c>
      <c r="L301" s="6" t="str">
        <f>IFERROR(
VLOOKUP(
TRIM(
IF(ISNUMBER(FIND(",",E301)),
LEFT(E301,FIND(",",E301)-1),
E301
)
),
master!A:B,
2,
FALSE
),
"Belum ada mapping"
)
</f>
        <v>Banten</v>
      </c>
      <c r="M301" s="6">
        <f>IFERROR(__xludf.DUMMYFUNCTION("IF(REGEXMATCH(I301,""Cari Kerja""),1,0)
"),1.0)</f>
        <v>1</v>
      </c>
      <c r="N301" s="6">
        <f>IFERROR(__xludf.DUMMYFUNCTION("IF(REGEXMATCH(I301,""Upskill""),1,0)
"),1.0)</f>
        <v>1</v>
      </c>
      <c r="O301" s="6">
        <f>IFERROR(__xludf.DUMMYFUNCTION("IF(REGEXMATCH(I301,""Networking""),1,0)
"),1.0)</f>
        <v>1</v>
      </c>
      <c r="P301" s="6">
        <f>IFERROR(__xludf.DUMMYFUNCTION("IF(REGEXMATCH(I301,""Switch Career""),1,0)
"),0.0)</f>
        <v>0</v>
      </c>
    </row>
    <row r="302" ht="22.5" customHeight="1">
      <c r="A302" s="7">
        <v>46041.40001693287</v>
      </c>
      <c r="B302" s="8" t="s">
        <v>1328</v>
      </c>
      <c r="C302" s="8" t="s">
        <v>1329</v>
      </c>
      <c r="D302" s="9" t="s">
        <v>1330</v>
      </c>
      <c r="E302" s="8" t="s">
        <v>218</v>
      </c>
      <c r="F302" s="8" t="s">
        <v>49</v>
      </c>
      <c r="G302" s="8" t="s">
        <v>1332</v>
      </c>
      <c r="H302" s="8" t="s">
        <v>37</v>
      </c>
      <c r="I302" s="8" t="s">
        <v>23</v>
      </c>
      <c r="J302" s="8" t="s">
        <v>24</v>
      </c>
      <c r="K302" s="6" t="str">
        <f t="shared" si="1"/>
        <v>082122627336</v>
      </c>
      <c r="L302" s="6" t="str">
        <f>IFERROR(
VLOOKUP(
TRIM(
IF(ISNUMBER(FIND(",",E302)),
LEFT(E302,FIND(",",E302)-1),
E302
)
),
master!A:B,
2,
FALSE
),
"Belum ada mapping"
)
</f>
        <v>Banten</v>
      </c>
      <c r="M302" s="6">
        <f>IFERROR(__xludf.DUMMYFUNCTION("IF(REGEXMATCH(I302,""Cari Kerja""),1,0)
"),1.0)</f>
        <v>1</v>
      </c>
      <c r="N302" s="6">
        <f>IFERROR(__xludf.DUMMYFUNCTION("IF(REGEXMATCH(I302,""Upskill""),1,0)
"),1.0)</f>
        <v>1</v>
      </c>
      <c r="O302" s="6">
        <f>IFERROR(__xludf.DUMMYFUNCTION("IF(REGEXMATCH(I302,""Networking""),1,0)
"),1.0)</f>
        <v>1</v>
      </c>
      <c r="P302" s="6">
        <f>IFERROR(__xludf.DUMMYFUNCTION("IF(REGEXMATCH(I302,""Switch Career""),1,0)
"),0.0)</f>
        <v>0</v>
      </c>
    </row>
    <row r="303" ht="22.5" customHeight="1">
      <c r="A303" s="3">
        <v>46051.422226574075</v>
      </c>
      <c r="B303" s="5" t="s">
        <v>1333</v>
      </c>
      <c r="C303" s="5" t="s">
        <v>1334</v>
      </c>
      <c r="D303" s="4" t="s">
        <v>1335</v>
      </c>
      <c r="E303" s="5" t="s">
        <v>92</v>
      </c>
      <c r="F303" s="5" t="s">
        <v>20</v>
      </c>
      <c r="G303" s="5" t="s">
        <v>1336</v>
      </c>
      <c r="H303" s="5" t="s">
        <v>51</v>
      </c>
      <c r="I303" s="5" t="s">
        <v>23</v>
      </c>
      <c r="J303" s="5" t="s">
        <v>24</v>
      </c>
      <c r="K303" s="10" t="str">
        <f t="shared" si="1"/>
        <v>081319240658</v>
      </c>
      <c r="L303" s="10" t="str">
        <f>IFERROR(
VLOOKUP(
TRIM(
IF(ISNUMBER(FIND(",",E303)),
LEFT(E303,FIND(",",E303)-1),
E303
)
),
master!A:B,
2,
FALSE
),
"Belum ada mapping"
)
</f>
        <v>Jawa Barat</v>
      </c>
      <c r="M303" s="6">
        <f>IFERROR(__xludf.DUMMYFUNCTION("IF(REGEXMATCH(I303,""Cari Kerja""),1,0)
"),1.0)</f>
        <v>1</v>
      </c>
      <c r="N303" s="6">
        <f>IFERROR(__xludf.DUMMYFUNCTION("IF(REGEXMATCH(I303,""Upskill""),1,0)
"),1.0)</f>
        <v>1</v>
      </c>
      <c r="O303" s="6">
        <f>IFERROR(__xludf.DUMMYFUNCTION("IF(REGEXMATCH(I303,""Networking""),1,0)
"),1.0)</f>
        <v>1</v>
      </c>
      <c r="P303" s="6">
        <f>IFERROR(__xludf.DUMMYFUNCTION("IF(REGEXMATCH(I303,""Switch Career""),1,0)
"),0.0)</f>
        <v>0</v>
      </c>
    </row>
    <row r="304" ht="22.5" customHeight="1">
      <c r="A304" s="3">
        <v>46042.43638728009</v>
      </c>
      <c r="B304" s="5" t="s">
        <v>1337</v>
      </c>
      <c r="C304" s="5" t="s">
        <v>1338</v>
      </c>
      <c r="D304" s="4" t="s">
        <v>1339</v>
      </c>
      <c r="E304" s="5" t="s">
        <v>825</v>
      </c>
      <c r="F304" s="5" t="s">
        <v>49</v>
      </c>
      <c r="G304" s="5" t="s">
        <v>1340</v>
      </c>
      <c r="H304" s="5" t="s">
        <v>51</v>
      </c>
      <c r="I304" s="5" t="s">
        <v>154</v>
      </c>
      <c r="J304" s="5" t="s">
        <v>24</v>
      </c>
      <c r="K304" s="6" t="str">
        <f t="shared" si="1"/>
        <v>089618940252</v>
      </c>
      <c r="L304" s="6" t="str">
        <f>IFERROR(
VLOOKUP(
TRIM(
IF(ISNUMBER(FIND(",",E304)),
LEFT(E304,FIND(",",E304)-1),
E304
)
),
master!A:B,
2,
FALSE
),
"Belum ada mapping"
)
</f>
        <v>Jawa Barat</v>
      </c>
      <c r="M304" s="6">
        <f>IFERROR(__xludf.DUMMYFUNCTION("IF(REGEXMATCH(I304,""Cari Kerja""),1,0)
"),0.0)</f>
        <v>0</v>
      </c>
      <c r="N304" s="6">
        <f>IFERROR(__xludf.DUMMYFUNCTION("IF(REGEXMATCH(I304,""Upskill""),1,0)
"),1.0)</f>
        <v>1</v>
      </c>
      <c r="O304" s="6">
        <f>IFERROR(__xludf.DUMMYFUNCTION("IF(REGEXMATCH(I304,""Networking""),1,0)
"),0.0)</f>
        <v>0</v>
      </c>
      <c r="P304" s="6">
        <f>IFERROR(__xludf.DUMMYFUNCTION("IF(REGEXMATCH(I304,""Switch Career""),1,0)
"),1.0)</f>
        <v>1</v>
      </c>
    </row>
    <row r="305" ht="22.5" customHeight="1">
      <c r="A305" s="3">
        <v>46042.31596626157</v>
      </c>
      <c r="B305" s="5" t="s">
        <v>1341</v>
      </c>
      <c r="C305" s="5" t="s">
        <v>1342</v>
      </c>
      <c r="D305" s="4" t="s">
        <v>1343</v>
      </c>
      <c r="E305" s="5" t="s">
        <v>74</v>
      </c>
      <c r="F305" s="5" t="s">
        <v>49</v>
      </c>
      <c r="G305" s="5" t="s">
        <v>945</v>
      </c>
      <c r="H305" s="5" t="s">
        <v>93</v>
      </c>
      <c r="I305" s="5" t="s">
        <v>59</v>
      </c>
      <c r="J305" s="5" t="s">
        <v>24</v>
      </c>
      <c r="K305" s="6" t="str">
        <f t="shared" si="1"/>
        <v>081288073691</v>
      </c>
      <c r="L305" s="6" t="str">
        <f>IFERROR(
VLOOKUP(
TRIM(
IF(ISNUMBER(FIND(",",E305)),
LEFT(E305,FIND(",",E305)-1),
E305
)
),
master!A:B,
2,
FALSE
),
"Belum ada mapping"
)
</f>
        <v>Banten</v>
      </c>
      <c r="M305" s="6">
        <f>IFERROR(__xludf.DUMMYFUNCTION("IF(REGEXMATCH(I305,""Cari Kerja""),1,0)
"),0.0)</f>
        <v>0</v>
      </c>
      <c r="N305" s="6">
        <f>IFERROR(__xludf.DUMMYFUNCTION("IF(REGEXMATCH(I305,""Upskill""),1,0)
"),1.0)</f>
        <v>1</v>
      </c>
      <c r="O305" s="6">
        <f>IFERROR(__xludf.DUMMYFUNCTION("IF(REGEXMATCH(I305,""Networking""),1,0)
"),1.0)</f>
        <v>1</v>
      </c>
      <c r="P305" s="6">
        <f>IFERROR(__xludf.DUMMYFUNCTION("IF(REGEXMATCH(I305,""Switch Career""),1,0)
"),0.0)</f>
        <v>0</v>
      </c>
    </row>
    <row r="306" ht="22.5" customHeight="1">
      <c r="A306" s="7">
        <v>46040.417976157405</v>
      </c>
      <c r="B306" s="8" t="s">
        <v>1344</v>
      </c>
      <c r="C306" s="8" t="s">
        <v>1345</v>
      </c>
      <c r="D306" s="9" t="s">
        <v>1346</v>
      </c>
      <c r="E306" s="8" t="s">
        <v>1347</v>
      </c>
      <c r="F306" s="8" t="s">
        <v>49</v>
      </c>
      <c r="G306" s="8" t="s">
        <v>1348</v>
      </c>
      <c r="H306" s="8" t="s">
        <v>153</v>
      </c>
      <c r="I306" s="8" t="s">
        <v>13</v>
      </c>
      <c r="J306" s="8" t="s">
        <v>38</v>
      </c>
      <c r="K306" s="6" t="str">
        <f t="shared" si="1"/>
        <v>081389031275</v>
      </c>
      <c r="L306" s="6" t="str">
        <f>IFERROR(
VLOOKUP(
TRIM(
IF(ISNUMBER(FIND(",",E306)),
LEFT(E306,FIND(",",E306)-1),
E306
)
),
master!A:B,
2,
FALSE
),
"Belum ada mapping"
)
</f>
        <v>Jawa Barat</v>
      </c>
      <c r="M306" s="6">
        <f>IFERROR(__xludf.DUMMYFUNCTION("IF(REGEXMATCH(I306,""Cari Kerja""),1,0)
"),0.0)</f>
        <v>0</v>
      </c>
      <c r="N306" s="6">
        <f>IFERROR(__xludf.DUMMYFUNCTION("IF(REGEXMATCH(I306,""Upskill""),1,0)
"),1.0)</f>
        <v>1</v>
      </c>
      <c r="O306" s="6">
        <f>IFERROR(__xludf.DUMMYFUNCTION("IF(REGEXMATCH(I306,""Networking""),1,0)
"),0.0)</f>
        <v>0</v>
      </c>
      <c r="P306" s="6">
        <f>IFERROR(__xludf.DUMMYFUNCTION("IF(REGEXMATCH(I306,""Switch Career""),1,0)
"),0.0)</f>
        <v>0</v>
      </c>
    </row>
    <row r="307" ht="22.5" customHeight="1">
      <c r="A307" s="7">
        <v>46040.44033033565</v>
      </c>
      <c r="B307" s="8" t="s">
        <v>1349</v>
      </c>
      <c r="C307" s="8" t="s">
        <v>1350</v>
      </c>
      <c r="D307" s="9" t="s">
        <v>1351</v>
      </c>
      <c r="E307" s="8" t="s">
        <v>35</v>
      </c>
      <c r="F307" s="8" t="s">
        <v>49</v>
      </c>
      <c r="G307" s="8" t="s">
        <v>1352</v>
      </c>
      <c r="H307" s="8" t="s">
        <v>1353</v>
      </c>
      <c r="I307" s="8" t="s">
        <v>109</v>
      </c>
      <c r="J307" s="8" t="s">
        <v>24</v>
      </c>
      <c r="K307" s="6" t="str">
        <f t="shared" si="1"/>
        <v>082229354257</v>
      </c>
      <c r="L307" s="6" t="str">
        <f>IFERROR(
VLOOKUP(
TRIM(
IF(ISNUMBER(FIND(",",E307)),
LEFT(E307,FIND(",",E307)-1),
E307
)
),
master!A:B,
2,
FALSE
),
"Belum ada mapping"
)
</f>
        <v>Jawa Timur</v>
      </c>
      <c r="M307" s="6">
        <f>IFERROR(__xludf.DUMMYFUNCTION("IF(REGEXMATCH(I307,""Cari Kerja""),1,0)
"),1.0)</f>
        <v>1</v>
      </c>
      <c r="N307" s="6">
        <f>IFERROR(__xludf.DUMMYFUNCTION("IF(REGEXMATCH(I307,""Upskill""),1,0)
"),0.0)</f>
        <v>0</v>
      </c>
      <c r="O307" s="6">
        <f>IFERROR(__xludf.DUMMYFUNCTION("IF(REGEXMATCH(I307,""Networking""),1,0)
"),1.0)</f>
        <v>1</v>
      </c>
      <c r="P307" s="6">
        <f>IFERROR(__xludf.DUMMYFUNCTION("IF(REGEXMATCH(I307,""Switch Career""),1,0)
"),0.0)</f>
        <v>0</v>
      </c>
    </row>
    <row r="308" ht="22.5" customHeight="1">
      <c r="A308" s="7">
        <v>46040.35555684028</v>
      </c>
      <c r="B308" s="8" t="s">
        <v>1354</v>
      </c>
      <c r="C308" s="8" t="s">
        <v>1355</v>
      </c>
      <c r="D308" s="9" t="s">
        <v>1356</v>
      </c>
      <c r="E308" s="8" t="s">
        <v>35</v>
      </c>
      <c r="F308" s="8" t="s">
        <v>20</v>
      </c>
      <c r="G308" s="8" t="s">
        <v>1357</v>
      </c>
      <c r="H308" s="8" t="s">
        <v>198</v>
      </c>
      <c r="I308" s="8" t="s">
        <v>31</v>
      </c>
      <c r="J308" s="8" t="s">
        <v>24</v>
      </c>
      <c r="K308" s="6" t="str">
        <f t="shared" si="1"/>
        <v>081703808153</v>
      </c>
      <c r="L308" s="6" t="str">
        <f>IFERROR(
VLOOKUP(
TRIM(
IF(ISNUMBER(FIND(",",E308)),
LEFT(E308,FIND(",",E308)-1),
E308
)
),
master!A:B,
2,
FALSE
),
"Belum ada mapping"
)
</f>
        <v>Jawa Timur</v>
      </c>
      <c r="M308" s="6">
        <f>IFERROR(__xludf.DUMMYFUNCTION("IF(REGEXMATCH(I308,""Cari Kerja""),1,0)
"),1.0)</f>
        <v>1</v>
      </c>
      <c r="N308" s="6">
        <f>IFERROR(__xludf.DUMMYFUNCTION("IF(REGEXMATCH(I308,""Upskill""),1,0)
"),1.0)</f>
        <v>1</v>
      </c>
      <c r="O308" s="6">
        <f>IFERROR(__xludf.DUMMYFUNCTION("IF(REGEXMATCH(I308,""Networking""),1,0)
"),1.0)</f>
        <v>1</v>
      </c>
      <c r="P308" s="6">
        <f>IFERROR(__xludf.DUMMYFUNCTION("IF(REGEXMATCH(I308,""Switch Career""),1,0)
"),1.0)</f>
        <v>1</v>
      </c>
    </row>
    <row r="309" ht="22.5" customHeight="1">
      <c r="A309" s="3">
        <v>46041.47047649305</v>
      </c>
      <c r="B309" s="5" t="s">
        <v>1358</v>
      </c>
      <c r="C309" s="5" t="s">
        <v>1359</v>
      </c>
      <c r="D309" s="4" t="s">
        <v>1360</v>
      </c>
      <c r="E309" s="5" t="s">
        <v>1361</v>
      </c>
      <c r="F309" s="5" t="s">
        <v>49</v>
      </c>
      <c r="G309" s="5" t="s">
        <v>1362</v>
      </c>
      <c r="H309" s="5" t="s">
        <v>1316</v>
      </c>
      <c r="I309" s="5" t="s">
        <v>13</v>
      </c>
      <c r="J309" s="5" t="s">
        <v>24</v>
      </c>
      <c r="K309" s="6" t="str">
        <f t="shared" si="1"/>
        <v>085156919841</v>
      </c>
      <c r="L309" s="6" t="str">
        <f>IFERROR(
VLOOKUP(
TRIM(
IF(ISNUMBER(FIND(",",E309)),
LEFT(E309,FIND(",",E309)-1),
E309
)
),
master!A:B,
2,
FALSE
),
"Belum ada mapping"
)
</f>
        <v>Jawa Tengah</v>
      </c>
      <c r="M309" s="6">
        <f>IFERROR(__xludf.DUMMYFUNCTION("IF(REGEXMATCH(I309,""Cari Kerja""),1,0)
"),0.0)</f>
        <v>0</v>
      </c>
      <c r="N309" s="6">
        <f>IFERROR(__xludf.DUMMYFUNCTION("IF(REGEXMATCH(I309,""Upskill""),1,0)
"),1.0)</f>
        <v>1</v>
      </c>
      <c r="O309" s="6">
        <f>IFERROR(__xludf.DUMMYFUNCTION("IF(REGEXMATCH(I309,""Networking""),1,0)
"),0.0)</f>
        <v>0</v>
      </c>
      <c r="P309" s="6">
        <f>IFERROR(__xludf.DUMMYFUNCTION("IF(REGEXMATCH(I309,""Switch Career""),1,0)
"),0.0)</f>
        <v>0</v>
      </c>
    </row>
    <row r="310" ht="22.5" customHeight="1">
      <c r="A310" s="3">
        <v>46041.537610486106</v>
      </c>
      <c r="B310" s="5" t="s">
        <v>1363</v>
      </c>
      <c r="C310" s="5" t="s">
        <v>1364</v>
      </c>
      <c r="D310" s="4" t="s">
        <v>1365</v>
      </c>
      <c r="E310" s="5" t="s">
        <v>207</v>
      </c>
      <c r="F310" s="5" t="s">
        <v>49</v>
      </c>
      <c r="G310" s="5" t="s">
        <v>628</v>
      </c>
      <c r="H310" s="5" t="s">
        <v>225</v>
      </c>
      <c r="I310" s="5" t="s">
        <v>31</v>
      </c>
      <c r="J310" s="5" t="s">
        <v>24</v>
      </c>
      <c r="K310" s="6" t="str">
        <f t="shared" si="1"/>
        <v>081997950308</v>
      </c>
      <c r="L310" s="6" t="str">
        <f>IFERROR(
VLOOKUP(
TRIM(
IF(ISNUMBER(FIND(",",E310)),
LEFT(E310,FIND(",",E310)-1),
E310
)
),
master!A:B,
2,
FALSE
),
"Belum ada mapping"
)
</f>
        <v>Jakarta</v>
      </c>
      <c r="M310" s="6">
        <f>IFERROR(__xludf.DUMMYFUNCTION("IF(REGEXMATCH(I310,""Cari Kerja""),1,0)
"),1.0)</f>
        <v>1</v>
      </c>
      <c r="N310" s="6">
        <f>IFERROR(__xludf.DUMMYFUNCTION("IF(REGEXMATCH(I310,""Upskill""),1,0)
"),1.0)</f>
        <v>1</v>
      </c>
      <c r="O310" s="6">
        <f>IFERROR(__xludf.DUMMYFUNCTION("IF(REGEXMATCH(I310,""Networking""),1,0)
"),1.0)</f>
        <v>1</v>
      </c>
      <c r="P310" s="6">
        <f>IFERROR(__xludf.DUMMYFUNCTION("IF(REGEXMATCH(I310,""Switch Career""),1,0)
"),1.0)</f>
        <v>1</v>
      </c>
    </row>
    <row r="311" ht="22.5" customHeight="1">
      <c r="A311" s="3">
        <v>46046.38750241898</v>
      </c>
      <c r="B311" s="5" t="s">
        <v>1366</v>
      </c>
      <c r="C311" s="5" t="s">
        <v>1367</v>
      </c>
      <c r="D311" s="4" t="s">
        <v>1368</v>
      </c>
      <c r="E311" s="5" t="s">
        <v>113</v>
      </c>
      <c r="F311" s="5" t="s">
        <v>49</v>
      </c>
      <c r="G311" s="5" t="s">
        <v>1369</v>
      </c>
      <c r="H311" s="5" t="s">
        <v>738</v>
      </c>
      <c r="I311" s="5" t="s">
        <v>109</v>
      </c>
      <c r="J311" s="5" t="s">
        <v>76</v>
      </c>
      <c r="K311" s="6" t="str">
        <f t="shared" si="1"/>
        <v>087740813450</v>
      </c>
      <c r="L311" s="6" t="str">
        <f>IFERROR(
VLOOKUP(
TRIM(
IF(ISNUMBER(FIND(",",E311)),
LEFT(E311,FIND(",",E311)-1),
E311
)
),
master!A:B,
2,
FALSE
),
"Belum ada mapping"
)
</f>
        <v>Sumatera Utara</v>
      </c>
      <c r="M311" s="6">
        <f>IFERROR(__xludf.DUMMYFUNCTION("IF(REGEXMATCH(I311,""Cari Kerja""),1,0)
"),1.0)</f>
        <v>1</v>
      </c>
      <c r="N311" s="6">
        <f>IFERROR(__xludf.DUMMYFUNCTION("IF(REGEXMATCH(I311,""Upskill""),1,0)
"),0.0)</f>
        <v>0</v>
      </c>
      <c r="O311" s="6">
        <f>IFERROR(__xludf.DUMMYFUNCTION("IF(REGEXMATCH(I311,""Networking""),1,0)
"),1.0)</f>
        <v>1</v>
      </c>
      <c r="P311" s="6">
        <f>IFERROR(__xludf.DUMMYFUNCTION("IF(REGEXMATCH(I311,""Switch Career""),1,0)
"),0.0)</f>
        <v>0</v>
      </c>
    </row>
    <row r="312" ht="22.5" customHeight="1">
      <c r="A312" s="3">
        <v>46049.3719546412</v>
      </c>
      <c r="B312" s="5" t="s">
        <v>1370</v>
      </c>
      <c r="C312" s="5" t="s">
        <v>1371</v>
      </c>
      <c r="D312" s="4" t="s">
        <v>1372</v>
      </c>
      <c r="E312" s="5" t="s">
        <v>97</v>
      </c>
      <c r="F312" s="5" t="s">
        <v>49</v>
      </c>
      <c r="G312" s="5" t="s">
        <v>1373</v>
      </c>
      <c r="H312" s="5" t="s">
        <v>51</v>
      </c>
      <c r="I312" s="5" t="s">
        <v>23</v>
      </c>
      <c r="J312" s="5" t="s">
        <v>24</v>
      </c>
      <c r="K312" s="6" t="str">
        <f t="shared" si="1"/>
        <v>085892648708</v>
      </c>
      <c r="L312" s="6" t="str">
        <f>IFERROR(
VLOOKUP(
TRIM(
IF(ISNUMBER(FIND(",",E312)),
LEFT(E312,FIND(",",E312)-1),
E312
)
),
master!A:B,
2,
FALSE
),
"Belum ada mapping"
)
</f>
        <v>Jakarta</v>
      </c>
      <c r="M312" s="6">
        <f>IFERROR(__xludf.DUMMYFUNCTION("IF(REGEXMATCH(I312,""Cari Kerja""),1,0)
"),1.0)</f>
        <v>1</v>
      </c>
      <c r="N312" s="6">
        <f>IFERROR(__xludf.DUMMYFUNCTION("IF(REGEXMATCH(I312,""Upskill""),1,0)
"),1.0)</f>
        <v>1</v>
      </c>
      <c r="O312" s="6">
        <f>IFERROR(__xludf.DUMMYFUNCTION("IF(REGEXMATCH(I312,""Networking""),1,0)
"),1.0)</f>
        <v>1</v>
      </c>
      <c r="P312" s="6">
        <f>IFERROR(__xludf.DUMMYFUNCTION("IF(REGEXMATCH(I312,""Switch Career""),1,0)
"),0.0)</f>
        <v>0</v>
      </c>
    </row>
    <row r="313" ht="22.5" customHeight="1">
      <c r="A313" s="3">
        <v>46064.46025549769</v>
      </c>
      <c r="B313" s="5" t="s">
        <v>1374</v>
      </c>
      <c r="C313" s="5" t="s">
        <v>1375</v>
      </c>
      <c r="D313" s="4" t="s">
        <v>1376</v>
      </c>
      <c r="E313" s="5" t="s">
        <v>1377</v>
      </c>
      <c r="F313" s="5" t="s">
        <v>49</v>
      </c>
      <c r="G313" s="5" t="s">
        <v>149</v>
      </c>
      <c r="H313" s="5" t="s">
        <v>509</v>
      </c>
      <c r="I313" s="5" t="s">
        <v>109</v>
      </c>
      <c r="J313" s="5" t="s">
        <v>24</v>
      </c>
      <c r="K313" s="10" t="str">
        <f t="shared" si="1"/>
        <v>0895418179797</v>
      </c>
      <c r="L313" s="10" t="str">
        <f>IFERROR(
VLOOKUP(
TRIM(
IF(ISNUMBER(FIND(",",E313)),
LEFT(E313,FIND(",",E313)-1),
E313
)
),
master!A:B,
2,
FALSE
),
"Belum ada mapping"
)
</f>
        <v>Nusa Tenggara Barat</v>
      </c>
      <c r="M313" s="10">
        <f>IFERROR(__xludf.DUMMYFUNCTION("IF(REGEXMATCH(I313,""Cari Kerja""),1,0)
"),1.0)</f>
        <v>1</v>
      </c>
      <c r="N313" s="10">
        <f>IFERROR(__xludf.DUMMYFUNCTION("IF(REGEXMATCH(I313,""Upskill""),1,0)
"),0.0)</f>
        <v>0</v>
      </c>
      <c r="O313" s="10">
        <f>IFERROR(__xludf.DUMMYFUNCTION("IF(REGEXMATCH(I313,""Networking""),1,0)
"),1.0)</f>
        <v>1</v>
      </c>
      <c r="P313" s="10">
        <f>IFERROR(__xludf.DUMMYFUNCTION("IF(REGEXMATCH(I313,""Switch Career""),1,0)
"),0.0)</f>
        <v>0</v>
      </c>
    </row>
    <row r="314" ht="22.5" customHeight="1">
      <c r="A314" s="3">
        <v>46064.4434880787</v>
      </c>
      <c r="B314" s="5" t="s">
        <v>1378</v>
      </c>
      <c r="C314" s="5" t="s">
        <v>1379</v>
      </c>
      <c r="D314" s="4" t="s">
        <v>1380</v>
      </c>
      <c r="E314" s="5" t="s">
        <v>92</v>
      </c>
      <c r="F314" s="5" t="s">
        <v>20</v>
      </c>
      <c r="G314" s="5" t="s">
        <v>1381</v>
      </c>
      <c r="H314" s="5" t="s">
        <v>51</v>
      </c>
      <c r="I314" s="5" t="s">
        <v>31</v>
      </c>
      <c r="J314" s="5" t="s">
        <v>24</v>
      </c>
      <c r="K314" s="10" t="str">
        <f t="shared" si="1"/>
        <v>085888635484</v>
      </c>
      <c r="L314" s="10" t="str">
        <f>IFERROR(
VLOOKUP(
TRIM(
IF(ISNUMBER(FIND(",",E314)),
LEFT(E314,FIND(",",E314)-1),
E314
)
),
master!A:B,
2,
FALSE
),
"Belum ada mapping"
)
</f>
        <v>Jawa Barat</v>
      </c>
      <c r="M314" s="10">
        <f>IFERROR(__xludf.DUMMYFUNCTION("IF(REGEXMATCH(I314,""Cari Kerja""),1,0)
"),1.0)</f>
        <v>1</v>
      </c>
      <c r="N314" s="10">
        <f>IFERROR(__xludf.DUMMYFUNCTION("IF(REGEXMATCH(I314,""Upskill""),1,0)
"),1.0)</f>
        <v>1</v>
      </c>
      <c r="O314" s="10">
        <f>IFERROR(__xludf.DUMMYFUNCTION("IF(REGEXMATCH(I314,""Networking""),1,0)
"),1.0)</f>
        <v>1</v>
      </c>
      <c r="P314" s="10">
        <f>IFERROR(__xludf.DUMMYFUNCTION("IF(REGEXMATCH(I314,""Switch Career""),1,0)
"),1.0)</f>
        <v>1</v>
      </c>
    </row>
    <row r="315" ht="22.5" customHeight="1">
      <c r="A315" s="7">
        <v>46040.3593453125</v>
      </c>
      <c r="B315" s="8" t="s">
        <v>1382</v>
      </c>
      <c r="C315" s="8" t="s">
        <v>1379</v>
      </c>
      <c r="D315" s="9" t="s">
        <v>1380</v>
      </c>
      <c r="E315" s="8" t="s">
        <v>92</v>
      </c>
      <c r="F315" s="8" t="s">
        <v>20</v>
      </c>
      <c r="G315" s="8" t="s">
        <v>1383</v>
      </c>
      <c r="H315" s="8" t="s">
        <v>51</v>
      </c>
      <c r="I315" s="8" t="s">
        <v>31</v>
      </c>
      <c r="J315" s="8" t="s">
        <v>24</v>
      </c>
      <c r="K315" s="6" t="str">
        <f t="shared" si="1"/>
        <v>085888635484</v>
      </c>
      <c r="L315" s="6" t="str">
        <f>IFERROR(
VLOOKUP(
TRIM(
IF(ISNUMBER(FIND(",",E315)),
LEFT(E315,FIND(",",E315)-1),
E315
)
),
master!A:B,
2,
FALSE
),
"Belum ada mapping"
)
</f>
        <v>Jawa Barat</v>
      </c>
      <c r="M315" s="6">
        <f>IFERROR(__xludf.DUMMYFUNCTION("IF(REGEXMATCH(I315,""Cari Kerja""),1,0)
"),1.0)</f>
        <v>1</v>
      </c>
      <c r="N315" s="6">
        <f>IFERROR(__xludf.DUMMYFUNCTION("IF(REGEXMATCH(I315,""Upskill""),1,0)
"),1.0)</f>
        <v>1</v>
      </c>
      <c r="O315" s="6">
        <f>IFERROR(__xludf.DUMMYFUNCTION("IF(REGEXMATCH(I315,""Networking""),1,0)
"),1.0)</f>
        <v>1</v>
      </c>
      <c r="P315" s="6">
        <f>IFERROR(__xludf.DUMMYFUNCTION("IF(REGEXMATCH(I315,""Switch Career""),1,0)
"),1.0)</f>
        <v>1</v>
      </c>
    </row>
    <row r="316" ht="22.5" customHeight="1">
      <c r="A316" s="3">
        <v>46121.6245734838</v>
      </c>
      <c r="B316" s="5" t="s">
        <v>1382</v>
      </c>
      <c r="C316" s="5" t="s">
        <v>1379</v>
      </c>
      <c r="D316" s="4" t="s">
        <v>1380</v>
      </c>
      <c r="E316" s="5" t="s">
        <v>92</v>
      </c>
      <c r="F316" s="5" t="s">
        <v>20</v>
      </c>
      <c r="G316" s="5" t="s">
        <v>1384</v>
      </c>
      <c r="H316" s="5" t="s">
        <v>531</v>
      </c>
      <c r="I316" s="5" t="s">
        <v>235</v>
      </c>
      <c r="J316" s="5" t="s">
        <v>38</v>
      </c>
      <c r="K316" s="10" t="str">
        <f t="shared" si="1"/>
        <v>085888635484</v>
      </c>
      <c r="L316" s="10" t="str">
        <f>IFERROR(
VLOOKUP(
TRIM(
IF(ISNUMBER(FIND(",",E316)),
LEFT(E316,FIND(",",E316)-1),
E316
)
),
master!A:B,
2,
FALSE
),
"Belum ada mapping"
)
</f>
        <v>Jawa Barat</v>
      </c>
      <c r="M316" s="10">
        <f>IFERROR(__xludf.DUMMYFUNCTION("IF(REGEXMATCH(I316,""Cari Kerja""),1,0)
"),1.0)</f>
        <v>1</v>
      </c>
      <c r="N316" s="10">
        <f>IFERROR(__xludf.DUMMYFUNCTION("IF(REGEXMATCH(I316,""Upskill""),1,0)
"),1.0)</f>
        <v>1</v>
      </c>
      <c r="O316" s="10">
        <f>IFERROR(__xludf.DUMMYFUNCTION("IF(REGEXMATCH(I316,""Networking""),1,0)
"),0.0)</f>
        <v>0</v>
      </c>
      <c r="P316" s="10">
        <f>IFERROR(__xludf.DUMMYFUNCTION("IF(REGEXMATCH(I316,""Switch Career""),1,0)
"),1.0)</f>
        <v>1</v>
      </c>
    </row>
    <row r="317" ht="22.5" customHeight="1">
      <c r="A317" s="3">
        <v>46046.53563269676</v>
      </c>
      <c r="B317" s="5" t="s">
        <v>1385</v>
      </c>
      <c r="C317" s="5" t="s">
        <v>1386</v>
      </c>
      <c r="D317" s="4" t="s">
        <v>1387</v>
      </c>
      <c r="E317" s="5" t="s">
        <v>452</v>
      </c>
      <c r="F317" s="5" t="s">
        <v>49</v>
      </c>
      <c r="G317" s="5" t="s">
        <v>1388</v>
      </c>
      <c r="H317" s="5" t="s">
        <v>176</v>
      </c>
      <c r="I317" s="5" t="s">
        <v>31</v>
      </c>
      <c r="J317" s="5" t="s">
        <v>24</v>
      </c>
      <c r="K317" s="6" t="str">
        <f t="shared" si="1"/>
        <v>081369031479</v>
      </c>
      <c r="L317" s="6" t="str">
        <f>IFERROR(
VLOOKUP(
TRIM(
IF(ISNUMBER(FIND(",",E317)),
LEFT(E317,FIND(",",E317)-1),
E317
)
),
master!A:B,
2,
FALSE
),
"Belum ada mapping"
)
</f>
        <v>Sumatera Selatan</v>
      </c>
      <c r="M317" s="6">
        <f>IFERROR(__xludf.DUMMYFUNCTION("IF(REGEXMATCH(I317,""Cari Kerja""),1,0)
"),1.0)</f>
        <v>1</v>
      </c>
      <c r="N317" s="6">
        <f>IFERROR(__xludf.DUMMYFUNCTION("IF(REGEXMATCH(I317,""Upskill""),1,0)
"),1.0)</f>
        <v>1</v>
      </c>
      <c r="O317" s="6">
        <f>IFERROR(__xludf.DUMMYFUNCTION("IF(REGEXMATCH(I317,""Networking""),1,0)
"),1.0)</f>
        <v>1</v>
      </c>
      <c r="P317" s="6">
        <f>IFERROR(__xludf.DUMMYFUNCTION("IF(REGEXMATCH(I317,""Switch Career""),1,0)
"),1.0)</f>
        <v>1</v>
      </c>
    </row>
    <row r="318" ht="22.5" customHeight="1">
      <c r="A318" s="3">
        <v>46042.457029074074</v>
      </c>
      <c r="B318" s="5" t="s">
        <v>1389</v>
      </c>
      <c r="C318" s="5" t="s">
        <v>1390</v>
      </c>
      <c r="D318" s="4" t="s">
        <v>1391</v>
      </c>
      <c r="E318" s="5" t="s">
        <v>74</v>
      </c>
      <c r="F318" s="5" t="s">
        <v>20</v>
      </c>
      <c r="G318" s="5" t="s">
        <v>1392</v>
      </c>
      <c r="H318" s="5" t="s">
        <v>51</v>
      </c>
      <c r="I318" s="5" t="s">
        <v>59</v>
      </c>
      <c r="J318" s="5" t="s">
        <v>76</v>
      </c>
      <c r="K318" s="6" t="str">
        <f t="shared" si="1"/>
        <v>085183002301</v>
      </c>
      <c r="L318" s="6" t="str">
        <f>IFERROR(
VLOOKUP(
TRIM(
IF(ISNUMBER(FIND(",",E318)),
LEFT(E318,FIND(",",E318)-1),
E318
)
),
master!A:B,
2,
FALSE
),
"Belum ada mapping"
)
</f>
        <v>Banten</v>
      </c>
      <c r="M318" s="6">
        <f>IFERROR(__xludf.DUMMYFUNCTION("IF(REGEXMATCH(I318,""Cari Kerja""),1,0)
"),0.0)</f>
        <v>0</v>
      </c>
      <c r="N318" s="6">
        <f>IFERROR(__xludf.DUMMYFUNCTION("IF(REGEXMATCH(I318,""Upskill""),1,0)
"),1.0)</f>
        <v>1</v>
      </c>
      <c r="O318" s="6">
        <f>IFERROR(__xludf.DUMMYFUNCTION("IF(REGEXMATCH(I318,""Networking""),1,0)
"),1.0)</f>
        <v>1</v>
      </c>
      <c r="P318" s="6">
        <f>IFERROR(__xludf.DUMMYFUNCTION("IF(REGEXMATCH(I318,""Switch Career""),1,0)
"),0.0)</f>
        <v>0</v>
      </c>
    </row>
    <row r="319" ht="22.5" customHeight="1">
      <c r="A319" s="3">
        <v>46048.928151631946</v>
      </c>
      <c r="B319" s="5" t="s">
        <v>1393</v>
      </c>
      <c r="C319" s="5" t="s">
        <v>1394</v>
      </c>
      <c r="D319" s="4" t="s">
        <v>1395</v>
      </c>
      <c r="E319" s="5" t="s">
        <v>42</v>
      </c>
      <c r="F319" s="5" t="s">
        <v>49</v>
      </c>
      <c r="G319" s="5" t="s">
        <v>1396</v>
      </c>
      <c r="H319" s="5" t="s">
        <v>225</v>
      </c>
      <c r="I319" s="5" t="s">
        <v>15</v>
      </c>
      <c r="J319" s="5" t="s">
        <v>24</v>
      </c>
      <c r="K319" s="6" t="str">
        <f t="shared" si="1"/>
        <v>088971753855</v>
      </c>
      <c r="L319" s="6" t="str">
        <f>IFERROR(
VLOOKUP(
TRIM(
IF(ISNUMBER(FIND(",",E319)),
LEFT(E319,FIND(",",E319)-1),
E319
)
),
master!A:B,
2,
FALSE
),
"Belum ada mapping"
)
</f>
        <v>Jawa Barat</v>
      </c>
      <c r="M319" s="6">
        <f>IFERROR(__xludf.DUMMYFUNCTION("IF(REGEXMATCH(I319,""Cari Kerja""),1,0)
"),0.0)</f>
        <v>0</v>
      </c>
      <c r="N319" s="6">
        <f>IFERROR(__xludf.DUMMYFUNCTION("IF(REGEXMATCH(I319,""Upskill""),1,0)
"),0.0)</f>
        <v>0</v>
      </c>
      <c r="O319" s="6">
        <f>IFERROR(__xludf.DUMMYFUNCTION("IF(REGEXMATCH(I319,""Networking""),1,0)
"),0.0)</f>
        <v>0</v>
      </c>
      <c r="P319" s="6">
        <f>IFERROR(__xludf.DUMMYFUNCTION("IF(REGEXMATCH(I319,""Switch Career""),1,0)
"),1.0)</f>
        <v>1</v>
      </c>
    </row>
    <row r="320" ht="22.5" customHeight="1">
      <c r="A320" s="3">
        <v>46043.34274875</v>
      </c>
      <c r="B320" s="5" t="s">
        <v>1397</v>
      </c>
      <c r="C320" s="5" t="s">
        <v>1398</v>
      </c>
      <c r="D320" s="4" t="s">
        <v>1399</v>
      </c>
      <c r="E320" s="5" t="s">
        <v>364</v>
      </c>
      <c r="F320" s="5" t="s">
        <v>20</v>
      </c>
      <c r="G320" s="5" t="s">
        <v>1400</v>
      </c>
      <c r="H320" s="5" t="s">
        <v>1401</v>
      </c>
      <c r="I320" s="5" t="s">
        <v>59</v>
      </c>
      <c r="J320" s="5" t="s">
        <v>38</v>
      </c>
      <c r="K320" s="6" t="str">
        <f t="shared" si="1"/>
        <v>08985468934</v>
      </c>
      <c r="L320" s="6" t="str">
        <f>IFERROR(
VLOOKUP(
TRIM(
IF(ISNUMBER(FIND(",",E320)),
LEFT(E320,FIND(",",E320)-1),
E320
)
),
master!A:B,
2,
FALSE
),
"Belum ada mapping"
)
</f>
        <v>Jakarta</v>
      </c>
      <c r="M320" s="6">
        <f>IFERROR(__xludf.DUMMYFUNCTION("IF(REGEXMATCH(I320,""Cari Kerja""),1,0)
"),0.0)</f>
        <v>0</v>
      </c>
      <c r="N320" s="6">
        <f>IFERROR(__xludf.DUMMYFUNCTION("IF(REGEXMATCH(I320,""Upskill""),1,0)
"),1.0)</f>
        <v>1</v>
      </c>
      <c r="O320" s="6">
        <f>IFERROR(__xludf.DUMMYFUNCTION("IF(REGEXMATCH(I320,""Networking""),1,0)
"),1.0)</f>
        <v>1</v>
      </c>
      <c r="P320" s="6">
        <f>IFERROR(__xludf.DUMMYFUNCTION("IF(REGEXMATCH(I320,""Switch Career""),1,0)
"),0.0)</f>
        <v>0</v>
      </c>
    </row>
    <row r="321" ht="22.5" customHeight="1">
      <c r="A321" s="7">
        <v>46040.35657053241</v>
      </c>
      <c r="B321" s="8" t="s">
        <v>1402</v>
      </c>
      <c r="C321" s="8" t="s">
        <v>1403</v>
      </c>
      <c r="D321" s="9" t="s">
        <v>1404</v>
      </c>
      <c r="E321" s="8" t="s">
        <v>1405</v>
      </c>
      <c r="F321" s="8" t="s">
        <v>49</v>
      </c>
      <c r="G321" s="8" t="s">
        <v>1406</v>
      </c>
      <c r="H321" s="8" t="s">
        <v>1407</v>
      </c>
      <c r="I321" s="8" t="s">
        <v>13</v>
      </c>
      <c r="J321" s="8" t="s">
        <v>24</v>
      </c>
      <c r="K321" s="6" t="str">
        <f t="shared" si="1"/>
        <v>085372571685</v>
      </c>
      <c r="L321" s="6" t="str">
        <f>IFERROR(
VLOOKUP(
TRIM(
IF(ISNUMBER(FIND(",",E321)),
LEFT(E321,FIND(",",E321)-1),
E321
)
),
master!A:B,
2,
FALSE
),
"Belum ada mapping"
)
</f>
        <v>Sulawesi Tengah</v>
      </c>
      <c r="M321" s="6">
        <f>IFERROR(__xludf.DUMMYFUNCTION("IF(REGEXMATCH(I321,""Cari Kerja""),1,0)
"),0.0)</f>
        <v>0</v>
      </c>
      <c r="N321" s="6">
        <f>IFERROR(__xludf.DUMMYFUNCTION("IF(REGEXMATCH(I321,""Upskill""),1,0)
"),1.0)</f>
        <v>1</v>
      </c>
      <c r="O321" s="6">
        <f>IFERROR(__xludf.DUMMYFUNCTION("IF(REGEXMATCH(I321,""Networking""),1,0)
"),0.0)</f>
        <v>0</v>
      </c>
      <c r="P321" s="6">
        <f>IFERROR(__xludf.DUMMYFUNCTION("IF(REGEXMATCH(I321,""Switch Career""),1,0)
"),0.0)</f>
        <v>0</v>
      </c>
    </row>
    <row r="322" ht="22.5" customHeight="1">
      <c r="A322" s="3">
        <v>46043.29927929398</v>
      </c>
      <c r="B322" s="5" t="s">
        <v>1408</v>
      </c>
      <c r="C322" s="5" t="s">
        <v>1409</v>
      </c>
      <c r="D322" s="4" t="s">
        <v>1410</v>
      </c>
      <c r="E322" s="5" t="s">
        <v>1411</v>
      </c>
      <c r="F322" s="5" t="s">
        <v>20</v>
      </c>
      <c r="G322" s="5" t="s">
        <v>552</v>
      </c>
      <c r="H322" s="5" t="s">
        <v>1412</v>
      </c>
      <c r="I322" s="5" t="s">
        <v>109</v>
      </c>
      <c r="J322" s="5" t="s">
        <v>24</v>
      </c>
      <c r="K322" s="6" t="str">
        <f t="shared" si="1"/>
        <v>089690566166</v>
      </c>
      <c r="L322" s="6" t="str">
        <f>IFERROR(
VLOOKUP(
TRIM(
IF(ISNUMBER(FIND(",",E322)),
LEFT(E322,FIND(",",E322)-1),
E322
)
),
master!A:B,
2,
FALSE
),
"Belum ada mapping"
)
</f>
        <v>Jawa Barat</v>
      </c>
      <c r="M322" s="6">
        <f>IFERROR(__xludf.DUMMYFUNCTION("IF(REGEXMATCH(I322,""Cari Kerja""),1,0)
"),1.0)</f>
        <v>1</v>
      </c>
      <c r="N322" s="6">
        <f>IFERROR(__xludf.DUMMYFUNCTION("IF(REGEXMATCH(I322,""Upskill""),1,0)
"),0.0)</f>
        <v>0</v>
      </c>
      <c r="O322" s="6">
        <f>IFERROR(__xludf.DUMMYFUNCTION("IF(REGEXMATCH(I322,""Networking""),1,0)
"),1.0)</f>
        <v>1</v>
      </c>
      <c r="P322" s="6">
        <f>IFERROR(__xludf.DUMMYFUNCTION("IF(REGEXMATCH(I322,""Switch Career""),1,0)
"),0.0)</f>
        <v>0</v>
      </c>
    </row>
    <row r="323" ht="22.5" customHeight="1">
      <c r="A323" s="3">
        <v>46042.30293146991</v>
      </c>
      <c r="B323" s="5" t="s">
        <v>1413</v>
      </c>
      <c r="C323" s="5" t="s">
        <v>1414</v>
      </c>
      <c r="D323" s="4" t="s">
        <v>1415</v>
      </c>
      <c r="E323" s="5" t="s">
        <v>1416</v>
      </c>
      <c r="F323" s="5" t="s">
        <v>49</v>
      </c>
      <c r="G323" s="5" t="s">
        <v>1417</v>
      </c>
      <c r="H323" s="5" t="s">
        <v>51</v>
      </c>
      <c r="I323" s="5" t="s">
        <v>52</v>
      </c>
      <c r="J323" s="5" t="s">
        <v>24</v>
      </c>
      <c r="K323" s="6" t="str">
        <f t="shared" si="1"/>
        <v>081369089236</v>
      </c>
      <c r="L323" s="6" t="str">
        <f>IFERROR(
VLOOKUP(
TRIM(
IF(ISNUMBER(FIND(",",E323)),
LEFT(E323,FIND(",",E323)-1),
E323
)
),
master!A:B,
2,
FALSE
),
"Belum ada mapping"
)
</f>
        <v>Sumatera Selatan</v>
      </c>
      <c r="M323" s="6">
        <f>IFERROR(__xludf.DUMMYFUNCTION("IF(REGEXMATCH(I323,""Cari Kerja""),1,0)
"),0.0)</f>
        <v>0</v>
      </c>
      <c r="N323" s="6">
        <f>IFERROR(__xludf.DUMMYFUNCTION("IF(REGEXMATCH(I323,""Upskill""),1,0)
"),1.0)</f>
        <v>1</v>
      </c>
      <c r="O323" s="6">
        <f>IFERROR(__xludf.DUMMYFUNCTION("IF(REGEXMATCH(I323,""Networking""),1,0)
"),1.0)</f>
        <v>1</v>
      </c>
      <c r="P323" s="6">
        <f>IFERROR(__xludf.DUMMYFUNCTION("IF(REGEXMATCH(I323,""Switch Career""),1,0)
"),1.0)</f>
        <v>1</v>
      </c>
    </row>
    <row r="324" ht="22.5" customHeight="1">
      <c r="A324" s="3">
        <v>46046.28739755787</v>
      </c>
      <c r="B324" s="5" t="s">
        <v>1418</v>
      </c>
      <c r="C324" s="5" t="s">
        <v>1419</v>
      </c>
      <c r="D324" s="4" t="s">
        <v>1420</v>
      </c>
      <c r="E324" s="5" t="s">
        <v>158</v>
      </c>
      <c r="F324" s="5" t="s">
        <v>20</v>
      </c>
      <c r="G324" s="5" t="s">
        <v>149</v>
      </c>
      <c r="H324" s="5" t="s">
        <v>209</v>
      </c>
      <c r="I324" s="5" t="s">
        <v>453</v>
      </c>
      <c r="J324" s="5" t="s">
        <v>24</v>
      </c>
      <c r="K324" s="6" t="str">
        <f t="shared" si="1"/>
        <v>082297100196</v>
      </c>
      <c r="L324" s="6" t="str">
        <f>IFERROR(
VLOOKUP(
TRIM(
IF(ISNUMBER(FIND(",",E324)),
LEFT(E324,FIND(",",E324)-1),
E324
)
),
master!A:B,
2,
FALSE
),
"Belum ada mapping"
)
</f>
        <v>Jawa Barat</v>
      </c>
      <c r="M324" s="6">
        <f>IFERROR(__xludf.DUMMYFUNCTION("IF(REGEXMATCH(I324,""Cari Kerja""),1,0)
"),1.0)</f>
        <v>1</v>
      </c>
      <c r="N324" s="6">
        <f>IFERROR(__xludf.DUMMYFUNCTION("IF(REGEXMATCH(I324,""Upskill""),1,0)
"),0.0)</f>
        <v>0</v>
      </c>
      <c r="O324" s="6">
        <f>IFERROR(__xludf.DUMMYFUNCTION("IF(REGEXMATCH(I324,""Networking""),1,0)
"),1.0)</f>
        <v>1</v>
      </c>
      <c r="P324" s="6">
        <f>IFERROR(__xludf.DUMMYFUNCTION("IF(REGEXMATCH(I324,""Switch Career""),1,0)
"),1.0)</f>
        <v>1</v>
      </c>
    </row>
    <row r="325" ht="22.5" customHeight="1">
      <c r="A325" s="3">
        <v>46046.71026037037</v>
      </c>
      <c r="B325" s="5" t="s">
        <v>1421</v>
      </c>
      <c r="C325" s="5" t="s">
        <v>1422</v>
      </c>
      <c r="D325" s="4" t="s">
        <v>1423</v>
      </c>
      <c r="E325" s="5" t="s">
        <v>42</v>
      </c>
      <c r="F325" s="5" t="s">
        <v>20</v>
      </c>
      <c r="G325" s="5" t="s">
        <v>1424</v>
      </c>
      <c r="H325" s="5" t="s">
        <v>51</v>
      </c>
      <c r="I325" s="5" t="s">
        <v>31</v>
      </c>
      <c r="J325" s="5" t="s">
        <v>24</v>
      </c>
      <c r="K325" s="6" t="str">
        <f t="shared" si="1"/>
        <v>0895701196458</v>
      </c>
      <c r="L325" s="6" t="str">
        <f>IFERROR(
VLOOKUP(
TRIM(
IF(ISNUMBER(FIND(",",E325)),
LEFT(E325,FIND(",",E325)-1),
E325
)
),
master!A:B,
2,
FALSE
),
"Belum ada mapping"
)
</f>
        <v>Jawa Barat</v>
      </c>
      <c r="M325" s="6">
        <f>IFERROR(__xludf.DUMMYFUNCTION("IF(REGEXMATCH(I325,""Cari Kerja""),1,0)
"),1.0)</f>
        <v>1</v>
      </c>
      <c r="N325" s="6">
        <f>IFERROR(__xludf.DUMMYFUNCTION("IF(REGEXMATCH(I325,""Upskill""),1,0)
"),1.0)</f>
        <v>1</v>
      </c>
      <c r="O325" s="6">
        <f>IFERROR(__xludf.DUMMYFUNCTION("IF(REGEXMATCH(I325,""Networking""),1,0)
"),1.0)</f>
        <v>1</v>
      </c>
      <c r="P325" s="6">
        <f>IFERROR(__xludf.DUMMYFUNCTION("IF(REGEXMATCH(I325,""Switch Career""),1,0)
"),1.0)</f>
        <v>1</v>
      </c>
    </row>
    <row r="326" ht="22.5" customHeight="1">
      <c r="A326" s="3">
        <v>46043.36297802083</v>
      </c>
      <c r="B326" s="5" t="s">
        <v>1425</v>
      </c>
      <c r="C326" s="5" t="s">
        <v>1426</v>
      </c>
      <c r="D326" s="4" t="s">
        <v>1427</v>
      </c>
      <c r="E326" s="5" t="s">
        <v>35</v>
      </c>
      <c r="F326" s="5" t="s">
        <v>20</v>
      </c>
      <c r="G326" s="5" t="s">
        <v>1428</v>
      </c>
      <c r="H326" s="5" t="s">
        <v>82</v>
      </c>
      <c r="I326" s="5" t="s">
        <v>23</v>
      </c>
      <c r="J326" s="5" t="s">
        <v>24</v>
      </c>
      <c r="K326" s="6" t="str">
        <f t="shared" si="1"/>
        <v>082333571494</v>
      </c>
      <c r="L326" s="6" t="str">
        <f>IFERROR(
VLOOKUP(
TRIM(
IF(ISNUMBER(FIND(",",E326)),
LEFT(E326,FIND(",",E326)-1),
E326
)
),
master!A:B,
2,
FALSE
),
"Belum ada mapping"
)
</f>
        <v>Jawa Timur</v>
      </c>
      <c r="M326" s="6">
        <f>IFERROR(__xludf.DUMMYFUNCTION("IF(REGEXMATCH(I326,""Cari Kerja""),1,0)
"),1.0)</f>
        <v>1</v>
      </c>
      <c r="N326" s="6">
        <f>IFERROR(__xludf.DUMMYFUNCTION("IF(REGEXMATCH(I326,""Upskill""),1,0)
"),1.0)</f>
        <v>1</v>
      </c>
      <c r="O326" s="6">
        <f>IFERROR(__xludf.DUMMYFUNCTION("IF(REGEXMATCH(I326,""Networking""),1,0)
"),1.0)</f>
        <v>1</v>
      </c>
      <c r="P326" s="6">
        <f>IFERROR(__xludf.DUMMYFUNCTION("IF(REGEXMATCH(I326,""Switch Career""),1,0)
"),0.0)</f>
        <v>0</v>
      </c>
    </row>
    <row r="327" ht="22.5" customHeight="1">
      <c r="A327" s="3">
        <v>46121.62218329861</v>
      </c>
      <c r="B327" s="5" t="s">
        <v>1429</v>
      </c>
      <c r="C327" s="5" t="s">
        <v>1430</v>
      </c>
      <c r="D327" s="4" t="s">
        <v>1431</v>
      </c>
      <c r="E327" s="5" t="s">
        <v>207</v>
      </c>
      <c r="F327" s="5" t="s">
        <v>49</v>
      </c>
      <c r="G327" s="5" t="s">
        <v>720</v>
      </c>
      <c r="H327" s="5" t="s">
        <v>51</v>
      </c>
      <c r="I327" s="5" t="s">
        <v>31</v>
      </c>
      <c r="J327" s="5" t="s">
        <v>38</v>
      </c>
      <c r="K327" s="10" t="str">
        <f t="shared" si="1"/>
        <v>085121078896</v>
      </c>
      <c r="L327" s="10" t="str">
        <f>IFERROR(
VLOOKUP(
TRIM(
IF(ISNUMBER(FIND(",",E327)),
LEFT(E327,FIND(",",E327)-1),
E327
)
),
master!A:B,
2,
FALSE
),
"Belum ada mapping"
)
</f>
        <v>Jakarta</v>
      </c>
      <c r="M327" s="10">
        <f>IFERROR(__xludf.DUMMYFUNCTION("IF(REGEXMATCH(I327,""Cari Kerja""),1,0)
"),1.0)</f>
        <v>1</v>
      </c>
      <c r="N327" s="10">
        <f>IFERROR(__xludf.DUMMYFUNCTION("IF(REGEXMATCH(I327,""Upskill""),1,0)
"),1.0)</f>
        <v>1</v>
      </c>
      <c r="O327" s="10">
        <f>IFERROR(__xludf.DUMMYFUNCTION("IF(REGEXMATCH(I327,""Networking""),1,0)
"),1.0)</f>
        <v>1</v>
      </c>
      <c r="P327" s="10">
        <f>IFERROR(__xludf.DUMMYFUNCTION("IF(REGEXMATCH(I327,""Switch Career""),1,0)
"),1.0)</f>
        <v>1</v>
      </c>
    </row>
    <row r="328" ht="22.5" customHeight="1">
      <c r="A328" s="7">
        <v>46040.344884942126</v>
      </c>
      <c r="B328" s="8" t="s">
        <v>1432</v>
      </c>
      <c r="C328" s="8" t="s">
        <v>1433</v>
      </c>
      <c r="D328" s="9" t="s">
        <v>1434</v>
      </c>
      <c r="E328" s="8" t="s">
        <v>1435</v>
      </c>
      <c r="F328" s="8" t="s">
        <v>49</v>
      </c>
      <c r="G328" s="8" t="s">
        <v>1436</v>
      </c>
      <c r="H328" s="8" t="s">
        <v>30</v>
      </c>
      <c r="I328" s="8" t="s">
        <v>31</v>
      </c>
      <c r="J328" s="8" t="s">
        <v>24</v>
      </c>
      <c r="K328" s="6" t="str">
        <f t="shared" si="1"/>
        <v>081376154734</v>
      </c>
      <c r="L328" s="6" t="str">
        <f>IFERROR(
VLOOKUP(
TRIM(
IF(ISNUMBER(FIND(",",E328)),
LEFT(E328,FIND(",",E328)-1),
E328
)
),
master!A:B,
2,
FALSE
),
"Belum ada mapping"
)
</f>
        <v>Riau</v>
      </c>
      <c r="M328" s="6">
        <f>IFERROR(__xludf.DUMMYFUNCTION("IF(REGEXMATCH(I328,""Cari Kerja""),1,0)
"),1.0)</f>
        <v>1</v>
      </c>
      <c r="N328" s="6">
        <f>IFERROR(__xludf.DUMMYFUNCTION("IF(REGEXMATCH(I328,""Upskill""),1,0)
"),1.0)</f>
        <v>1</v>
      </c>
      <c r="O328" s="6">
        <f>IFERROR(__xludf.DUMMYFUNCTION("IF(REGEXMATCH(I328,""Networking""),1,0)
"),1.0)</f>
        <v>1</v>
      </c>
      <c r="P328" s="6">
        <f>IFERROR(__xludf.DUMMYFUNCTION("IF(REGEXMATCH(I328,""Switch Career""),1,0)
"),1.0)</f>
        <v>1</v>
      </c>
    </row>
    <row r="329" ht="22.5" customHeight="1">
      <c r="A329" s="3">
        <v>46046.40552513889</v>
      </c>
      <c r="B329" s="5" t="s">
        <v>1437</v>
      </c>
      <c r="C329" s="5" t="s">
        <v>1438</v>
      </c>
      <c r="D329" s="4" t="s">
        <v>1439</v>
      </c>
      <c r="E329" s="5" t="s">
        <v>1440</v>
      </c>
      <c r="F329" s="5" t="s">
        <v>49</v>
      </c>
      <c r="G329" s="5" t="s">
        <v>1077</v>
      </c>
      <c r="H329" s="5" t="s">
        <v>51</v>
      </c>
      <c r="I329" s="5" t="s">
        <v>31</v>
      </c>
      <c r="J329" s="5" t="s">
        <v>76</v>
      </c>
      <c r="K329" s="6" t="str">
        <f t="shared" si="1"/>
        <v>085241785781</v>
      </c>
      <c r="L329" s="6" t="str">
        <f>IFERROR(
VLOOKUP(
TRIM(
IF(ISNUMBER(FIND(",",E329)),
LEFT(E329,FIND(",",E329)-1),
E329
)
),
master!A:B,
2,
FALSE
),
"Belum ada mapping"
)
</f>
        <v>Sulawesi Tenggara</v>
      </c>
      <c r="M329" s="6">
        <f>IFERROR(__xludf.DUMMYFUNCTION("IF(REGEXMATCH(I329,""Cari Kerja""),1,0)
"),1.0)</f>
        <v>1</v>
      </c>
      <c r="N329" s="6">
        <f>IFERROR(__xludf.DUMMYFUNCTION("IF(REGEXMATCH(I329,""Upskill""),1,0)
"),1.0)</f>
        <v>1</v>
      </c>
      <c r="O329" s="6">
        <f>IFERROR(__xludf.DUMMYFUNCTION("IF(REGEXMATCH(I329,""Networking""),1,0)
"),1.0)</f>
        <v>1</v>
      </c>
      <c r="P329" s="6">
        <f>IFERROR(__xludf.DUMMYFUNCTION("IF(REGEXMATCH(I329,""Switch Career""),1,0)
"),1.0)</f>
        <v>1</v>
      </c>
    </row>
    <row r="330" ht="22.5" customHeight="1">
      <c r="A330" s="3">
        <v>46061.480952337966</v>
      </c>
      <c r="B330" s="5" t="s">
        <v>1441</v>
      </c>
      <c r="C330" s="5" t="s">
        <v>1442</v>
      </c>
      <c r="D330" s="4" t="s">
        <v>1443</v>
      </c>
      <c r="E330" s="5" t="s">
        <v>35</v>
      </c>
      <c r="F330" s="5" t="s">
        <v>20</v>
      </c>
      <c r="G330" s="5" t="s">
        <v>21</v>
      </c>
      <c r="H330" s="5" t="s">
        <v>37</v>
      </c>
      <c r="I330" s="5" t="s">
        <v>23</v>
      </c>
      <c r="J330" s="5" t="s">
        <v>24</v>
      </c>
      <c r="K330" s="10" t="str">
        <f t="shared" si="1"/>
        <v>087720640153</v>
      </c>
      <c r="L330" s="10" t="str">
        <f>IFERROR(
VLOOKUP(
TRIM(
IF(ISNUMBER(FIND(",",E330)),
LEFT(E330,FIND(",",E330)-1),
E330
)
),
master!A:B,
2,
FALSE
),
"Belum ada mapping"
)
</f>
        <v>Jawa Timur</v>
      </c>
      <c r="M330" s="10">
        <f>IFERROR(__xludf.DUMMYFUNCTION("IF(REGEXMATCH(I330,""Cari Kerja""),1,0)
"),1.0)</f>
        <v>1</v>
      </c>
      <c r="N330" s="10">
        <f>IFERROR(__xludf.DUMMYFUNCTION("IF(REGEXMATCH(I330,""Upskill""),1,0)
"),1.0)</f>
        <v>1</v>
      </c>
      <c r="O330" s="10">
        <f>IFERROR(__xludf.DUMMYFUNCTION("IF(REGEXMATCH(I330,""Networking""),1,0)
"),1.0)</f>
        <v>1</v>
      </c>
      <c r="P330" s="10">
        <f>IFERROR(__xludf.DUMMYFUNCTION("IF(REGEXMATCH(I330,""Switch Career""),1,0)
"),0.0)</f>
        <v>0</v>
      </c>
    </row>
    <row r="331" ht="22.5" customHeight="1">
      <c r="A331" s="3">
        <v>46048.9279439699</v>
      </c>
      <c r="B331" s="5" t="s">
        <v>1444</v>
      </c>
      <c r="C331" s="5" t="s">
        <v>1445</v>
      </c>
      <c r="D331" s="4" t="s">
        <v>1446</v>
      </c>
      <c r="E331" s="5" t="s">
        <v>551</v>
      </c>
      <c r="F331" s="5" t="s">
        <v>20</v>
      </c>
      <c r="G331" s="5" t="s">
        <v>1447</v>
      </c>
      <c r="H331" s="5" t="s">
        <v>651</v>
      </c>
      <c r="I331" s="5" t="s">
        <v>31</v>
      </c>
      <c r="J331" s="5" t="s">
        <v>24</v>
      </c>
      <c r="K331" s="6" t="str">
        <f t="shared" si="1"/>
        <v>089506554890</v>
      </c>
      <c r="L331" s="6" t="str">
        <f>IFERROR(
VLOOKUP(
TRIM(
IF(ISNUMBER(FIND(",",E331)),
LEFT(E331,FIND(",",E331)-1),
E331
)
),
master!A:B,
2,
FALSE
),
"Belum ada mapping"
)
</f>
        <v>Jawa Barat</v>
      </c>
      <c r="M331" s="6">
        <f>IFERROR(__xludf.DUMMYFUNCTION("IF(REGEXMATCH(I331,""Cari Kerja""),1,0)
"),1.0)</f>
        <v>1</v>
      </c>
      <c r="N331" s="6">
        <f>IFERROR(__xludf.DUMMYFUNCTION("IF(REGEXMATCH(I331,""Upskill""),1,0)
"),1.0)</f>
        <v>1</v>
      </c>
      <c r="O331" s="6">
        <f>IFERROR(__xludf.DUMMYFUNCTION("IF(REGEXMATCH(I331,""Networking""),1,0)
"),1.0)</f>
        <v>1</v>
      </c>
      <c r="P331" s="6">
        <f>IFERROR(__xludf.DUMMYFUNCTION("IF(REGEXMATCH(I331,""Switch Career""),1,0)
"),1.0)</f>
        <v>1</v>
      </c>
    </row>
    <row r="332" ht="22.5" customHeight="1">
      <c r="A332" s="3">
        <v>46046.535242569444</v>
      </c>
      <c r="B332" s="5" t="s">
        <v>1448</v>
      </c>
      <c r="C332" s="5" t="s">
        <v>1449</v>
      </c>
      <c r="D332" s="4" t="s">
        <v>1450</v>
      </c>
      <c r="E332" s="5" t="s">
        <v>74</v>
      </c>
      <c r="F332" s="5" t="s">
        <v>20</v>
      </c>
      <c r="G332" s="5" t="s">
        <v>1451</v>
      </c>
      <c r="H332" s="5" t="s">
        <v>51</v>
      </c>
      <c r="I332" s="5" t="s">
        <v>23</v>
      </c>
      <c r="J332" s="5" t="s">
        <v>24</v>
      </c>
      <c r="K332" s="6" t="str">
        <f t="shared" si="1"/>
        <v>081280502642</v>
      </c>
      <c r="L332" s="6" t="str">
        <f>IFERROR(
VLOOKUP(
TRIM(
IF(ISNUMBER(FIND(",",E332)),
LEFT(E332,FIND(",",E332)-1),
E332
)
),
master!A:B,
2,
FALSE
),
"Belum ada mapping"
)
</f>
        <v>Banten</v>
      </c>
      <c r="M332" s="6">
        <f>IFERROR(__xludf.DUMMYFUNCTION("IF(REGEXMATCH(I332,""Cari Kerja""),1,0)
"),1.0)</f>
        <v>1</v>
      </c>
      <c r="N332" s="6">
        <f>IFERROR(__xludf.DUMMYFUNCTION("IF(REGEXMATCH(I332,""Upskill""),1,0)
"),1.0)</f>
        <v>1</v>
      </c>
      <c r="O332" s="6">
        <f>IFERROR(__xludf.DUMMYFUNCTION("IF(REGEXMATCH(I332,""Networking""),1,0)
"),1.0)</f>
        <v>1</v>
      </c>
      <c r="P332" s="6">
        <f>IFERROR(__xludf.DUMMYFUNCTION("IF(REGEXMATCH(I332,""Switch Career""),1,0)
"),0.0)</f>
        <v>0</v>
      </c>
    </row>
    <row r="333" ht="22.5" customHeight="1">
      <c r="A333" s="7">
        <v>46040.42643334491</v>
      </c>
      <c r="B333" s="8" t="s">
        <v>1452</v>
      </c>
      <c r="C333" s="8" t="s">
        <v>1453</v>
      </c>
      <c r="D333" s="9" t="s">
        <v>1454</v>
      </c>
      <c r="E333" s="8" t="s">
        <v>1455</v>
      </c>
      <c r="F333" s="8" t="s">
        <v>49</v>
      </c>
      <c r="G333" s="8" t="s">
        <v>720</v>
      </c>
      <c r="H333" s="8" t="s">
        <v>1456</v>
      </c>
      <c r="I333" s="8" t="s">
        <v>59</v>
      </c>
      <c r="J333" s="8" t="s">
        <v>24</v>
      </c>
      <c r="K333" s="6" t="str">
        <f t="shared" si="1"/>
        <v>082157346608</v>
      </c>
      <c r="L333" s="6" t="str">
        <f>IFERROR(
VLOOKUP(
TRIM(
IF(ISNUMBER(FIND(",",E333)),
LEFT(E333,FIND(",",E333)-1),
E333
)
),
master!A:B,
2,
FALSE
),
"Belum ada mapping"
)
</f>
        <v>Kalimantan Selatan</v>
      </c>
      <c r="M333" s="6">
        <f>IFERROR(__xludf.DUMMYFUNCTION("IF(REGEXMATCH(I333,""Cari Kerja""),1,0)
"),0.0)</f>
        <v>0</v>
      </c>
      <c r="N333" s="6">
        <f>IFERROR(__xludf.DUMMYFUNCTION("IF(REGEXMATCH(I333,""Upskill""),1,0)
"),1.0)</f>
        <v>1</v>
      </c>
      <c r="O333" s="6">
        <f>IFERROR(__xludf.DUMMYFUNCTION("IF(REGEXMATCH(I333,""Networking""),1,0)
"),1.0)</f>
        <v>1</v>
      </c>
      <c r="P333" s="6">
        <f>IFERROR(__xludf.DUMMYFUNCTION("IF(REGEXMATCH(I333,""Switch Career""),1,0)
"),0.0)</f>
        <v>0</v>
      </c>
    </row>
    <row r="334" ht="22.5" customHeight="1">
      <c r="A334" s="3">
        <v>46043.46738903935</v>
      </c>
      <c r="B334" s="5" t="s">
        <v>1457</v>
      </c>
      <c r="C334" s="5" t="s">
        <v>1458</v>
      </c>
      <c r="D334" s="4" t="s">
        <v>1459</v>
      </c>
      <c r="E334" s="5" t="s">
        <v>457</v>
      </c>
      <c r="F334" s="5" t="s">
        <v>20</v>
      </c>
      <c r="G334" s="5" t="s">
        <v>267</v>
      </c>
      <c r="H334" s="5" t="s">
        <v>51</v>
      </c>
      <c r="I334" s="5" t="s">
        <v>23</v>
      </c>
      <c r="J334" s="5" t="s">
        <v>24</v>
      </c>
      <c r="K334" s="6" t="str">
        <f t="shared" si="1"/>
        <v>085783865917</v>
      </c>
      <c r="L334" s="6" t="str">
        <f>IFERROR(
VLOOKUP(
TRIM(
IF(ISNUMBER(FIND(",",E334)),
LEFT(E334,FIND(",",E334)-1),
E334
)
),
master!A:B,
2,
FALSE
),
"Belum ada mapping"
)
</f>
        <v>Lampung</v>
      </c>
      <c r="M334" s="6">
        <f>IFERROR(__xludf.DUMMYFUNCTION("IF(REGEXMATCH(I334,""Cari Kerja""),1,0)
"),1.0)</f>
        <v>1</v>
      </c>
      <c r="N334" s="6">
        <f>IFERROR(__xludf.DUMMYFUNCTION("IF(REGEXMATCH(I334,""Upskill""),1,0)
"),1.0)</f>
        <v>1</v>
      </c>
      <c r="O334" s="6">
        <f>IFERROR(__xludf.DUMMYFUNCTION("IF(REGEXMATCH(I334,""Networking""),1,0)
"),1.0)</f>
        <v>1</v>
      </c>
      <c r="P334" s="6">
        <f>IFERROR(__xludf.DUMMYFUNCTION("IF(REGEXMATCH(I334,""Switch Career""),1,0)
"),0.0)</f>
        <v>0</v>
      </c>
    </row>
    <row r="335" ht="22.5" customHeight="1">
      <c r="A335" s="7">
        <v>46040.36536642361</v>
      </c>
      <c r="B335" s="8" t="s">
        <v>1460</v>
      </c>
      <c r="C335" s="8" t="s">
        <v>1461</v>
      </c>
      <c r="D335" s="9" t="s">
        <v>1462</v>
      </c>
      <c r="E335" s="8" t="s">
        <v>1463</v>
      </c>
      <c r="F335" s="8" t="s">
        <v>20</v>
      </c>
      <c r="G335" s="8" t="s">
        <v>1464</v>
      </c>
      <c r="H335" s="8" t="s">
        <v>51</v>
      </c>
      <c r="I335" s="8" t="s">
        <v>52</v>
      </c>
      <c r="J335" s="8" t="s">
        <v>24</v>
      </c>
      <c r="K335" s="6" t="str">
        <f t="shared" si="1"/>
        <v>088270944423</v>
      </c>
      <c r="L335" s="6" t="str">
        <f>IFERROR(
VLOOKUP(
TRIM(
IF(ISNUMBER(FIND(",",E335)),
LEFT(E335,FIND(",",E335)-1),
E335
)
),
master!A:B,
2,
FALSE
),
"Belum ada mapping"
)
</f>
        <v>Sumatera Barat</v>
      </c>
      <c r="M335" s="6">
        <f>IFERROR(__xludf.DUMMYFUNCTION("IF(REGEXMATCH(I335,""Cari Kerja""),1,0)
"),0.0)</f>
        <v>0</v>
      </c>
      <c r="N335" s="6">
        <f>IFERROR(__xludf.DUMMYFUNCTION("IF(REGEXMATCH(I335,""Upskill""),1,0)
"),1.0)</f>
        <v>1</v>
      </c>
      <c r="O335" s="6">
        <f>IFERROR(__xludf.DUMMYFUNCTION("IF(REGEXMATCH(I335,""Networking""),1,0)
"),1.0)</f>
        <v>1</v>
      </c>
      <c r="P335" s="6">
        <f>IFERROR(__xludf.DUMMYFUNCTION("IF(REGEXMATCH(I335,""Switch Career""),1,0)
"),1.0)</f>
        <v>1</v>
      </c>
    </row>
    <row r="336" ht="22.5" customHeight="1">
      <c r="A336" s="3">
        <v>46134.70552261574</v>
      </c>
      <c r="B336" s="5" t="s">
        <v>1465</v>
      </c>
      <c r="C336" s="5" t="s">
        <v>1466</v>
      </c>
      <c r="D336" s="4" t="s">
        <v>1467</v>
      </c>
      <c r="E336" s="5" t="s">
        <v>207</v>
      </c>
      <c r="F336" s="5" t="s">
        <v>49</v>
      </c>
      <c r="G336" s="5" t="s">
        <v>1468</v>
      </c>
      <c r="H336" s="5" t="s">
        <v>51</v>
      </c>
      <c r="I336" s="5" t="s">
        <v>968</v>
      </c>
      <c r="J336" s="5" t="s">
        <v>24</v>
      </c>
      <c r="K336" s="10" t="str">
        <f t="shared" si="1"/>
        <v>087710106336</v>
      </c>
      <c r="L336" s="10" t="str">
        <f>IFERROR(
VLOOKUP(
TRIM(
IF(ISNUMBER(FIND(",",E336)),
LEFT(E336,FIND(",",E336)-1),
E336
)
),
master!A:B,
2,
FALSE
),
"Belum ada mapping"
)
</f>
        <v>Jakarta</v>
      </c>
      <c r="M336" s="10">
        <f>IFERROR(__xludf.DUMMYFUNCTION("IF(REGEXMATCH(I336,""Cari Kerja""),1,0)
"),1.0)</f>
        <v>1</v>
      </c>
      <c r="N336" s="10">
        <f>IFERROR(__xludf.DUMMYFUNCTION("IF(REGEXMATCH(I336,""Upskill""),1,0)
"),0.0)</f>
        <v>0</v>
      </c>
      <c r="O336" s="10">
        <f>IFERROR(__xludf.DUMMYFUNCTION("IF(REGEXMATCH(I336,""Networking""),1,0)
"),0.0)</f>
        <v>0</v>
      </c>
      <c r="P336" s="10">
        <f>IFERROR(__xludf.DUMMYFUNCTION("IF(REGEXMATCH(I336,""Switch Career""),1,0)
"),1.0)</f>
        <v>1</v>
      </c>
    </row>
    <row r="337" ht="22.5" customHeight="1">
      <c r="A337" s="3">
        <v>46043.56472422453</v>
      </c>
      <c r="B337" s="5" t="s">
        <v>1469</v>
      </c>
      <c r="C337" s="5" t="s">
        <v>1470</v>
      </c>
      <c r="D337" s="4" t="s">
        <v>1471</v>
      </c>
      <c r="E337" s="5" t="s">
        <v>92</v>
      </c>
      <c r="F337" s="5" t="s">
        <v>49</v>
      </c>
      <c r="G337" s="5" t="s">
        <v>1472</v>
      </c>
      <c r="H337" s="5" t="s">
        <v>51</v>
      </c>
      <c r="I337" s="5" t="s">
        <v>23</v>
      </c>
      <c r="J337" s="5" t="s">
        <v>24</v>
      </c>
      <c r="K337" s="6" t="str">
        <f t="shared" si="1"/>
        <v>081398503431</v>
      </c>
      <c r="L337" s="6" t="str">
        <f>IFERROR(
VLOOKUP(
TRIM(
IF(ISNUMBER(FIND(",",E337)),
LEFT(E337,FIND(",",E337)-1),
E337
)
),
master!A:B,
2,
FALSE
),
"Belum ada mapping"
)
</f>
        <v>Jawa Barat</v>
      </c>
      <c r="M337" s="6">
        <f>IFERROR(__xludf.DUMMYFUNCTION("IF(REGEXMATCH(I337,""Cari Kerja""),1,0)
"),1.0)</f>
        <v>1</v>
      </c>
      <c r="N337" s="6">
        <f>IFERROR(__xludf.DUMMYFUNCTION("IF(REGEXMATCH(I337,""Upskill""),1,0)
"),1.0)</f>
        <v>1</v>
      </c>
      <c r="O337" s="6">
        <f>IFERROR(__xludf.DUMMYFUNCTION("IF(REGEXMATCH(I337,""Networking""),1,0)
"),1.0)</f>
        <v>1</v>
      </c>
      <c r="P337" s="6">
        <f>IFERROR(__xludf.DUMMYFUNCTION("IF(REGEXMATCH(I337,""Switch Career""),1,0)
"),0.0)</f>
        <v>0</v>
      </c>
    </row>
    <row r="338" ht="22.5" customHeight="1">
      <c r="A338" s="7">
        <v>46040.35287149306</v>
      </c>
      <c r="B338" s="8" t="s">
        <v>1473</v>
      </c>
      <c r="C338" s="8" t="s">
        <v>1474</v>
      </c>
      <c r="D338" s="9" t="s">
        <v>1475</v>
      </c>
      <c r="E338" s="8" t="s">
        <v>452</v>
      </c>
      <c r="F338" s="8" t="s">
        <v>20</v>
      </c>
      <c r="G338" s="8" t="s">
        <v>1476</v>
      </c>
      <c r="H338" s="8" t="s">
        <v>51</v>
      </c>
      <c r="I338" s="8" t="s">
        <v>154</v>
      </c>
      <c r="J338" s="8" t="s">
        <v>24</v>
      </c>
      <c r="K338" s="6" t="str">
        <f t="shared" si="1"/>
        <v>081337257217</v>
      </c>
      <c r="L338" s="6" t="str">
        <f>IFERROR(
VLOOKUP(
TRIM(
IF(ISNUMBER(FIND(",",E338)),
LEFT(E338,FIND(",",E338)-1),
E338
)
),
master!A:B,
2,
FALSE
),
"Belum ada mapping"
)
</f>
        <v>Sumatera Selatan</v>
      </c>
      <c r="M338" s="6">
        <f>IFERROR(__xludf.DUMMYFUNCTION("IF(REGEXMATCH(I338,""Cari Kerja""),1,0)
"),0.0)</f>
        <v>0</v>
      </c>
      <c r="N338" s="6">
        <f>IFERROR(__xludf.DUMMYFUNCTION("IF(REGEXMATCH(I338,""Upskill""),1,0)
"),1.0)</f>
        <v>1</v>
      </c>
      <c r="O338" s="6">
        <f>IFERROR(__xludf.DUMMYFUNCTION("IF(REGEXMATCH(I338,""Networking""),1,0)
"),0.0)</f>
        <v>0</v>
      </c>
      <c r="P338" s="6">
        <f>IFERROR(__xludf.DUMMYFUNCTION("IF(REGEXMATCH(I338,""Switch Career""),1,0)
"),1.0)</f>
        <v>1</v>
      </c>
    </row>
    <row r="339" ht="22.5" customHeight="1">
      <c r="A339" s="3">
        <v>46048.96061439815</v>
      </c>
      <c r="B339" s="5" t="s">
        <v>1477</v>
      </c>
      <c r="C339" s="5" t="s">
        <v>1478</v>
      </c>
      <c r="D339" s="4" t="s">
        <v>1479</v>
      </c>
      <c r="E339" s="5" t="s">
        <v>775</v>
      </c>
      <c r="F339" s="5" t="s">
        <v>20</v>
      </c>
      <c r="G339" s="5" t="s">
        <v>1480</v>
      </c>
      <c r="H339" s="5" t="s">
        <v>187</v>
      </c>
      <c r="I339" s="5" t="s">
        <v>31</v>
      </c>
      <c r="J339" s="5" t="s">
        <v>24</v>
      </c>
      <c r="K339" s="6" t="str">
        <f t="shared" si="1"/>
        <v>089647655119</v>
      </c>
      <c r="L339" s="6" t="str">
        <f>IFERROR(
VLOOKUP(
TRIM(
IF(ISNUMBER(FIND(",",E339)),
LEFT(E339,FIND(",",E339)-1),
E339
)
),
master!A:B,
2,
FALSE
),
"Belum ada mapping"
)
</f>
        <v>Jakarta</v>
      </c>
      <c r="M339" s="6">
        <f>IFERROR(__xludf.DUMMYFUNCTION("IF(REGEXMATCH(I339,""Cari Kerja""),1,0)
"),1.0)</f>
        <v>1</v>
      </c>
      <c r="N339" s="6">
        <f>IFERROR(__xludf.DUMMYFUNCTION("IF(REGEXMATCH(I339,""Upskill""),1,0)
"),1.0)</f>
        <v>1</v>
      </c>
      <c r="O339" s="6">
        <f>IFERROR(__xludf.DUMMYFUNCTION("IF(REGEXMATCH(I339,""Networking""),1,0)
"),1.0)</f>
        <v>1</v>
      </c>
      <c r="P339" s="6">
        <f>IFERROR(__xludf.DUMMYFUNCTION("IF(REGEXMATCH(I339,""Switch Career""),1,0)
"),1.0)</f>
        <v>1</v>
      </c>
    </row>
    <row r="340" ht="22.5" customHeight="1">
      <c r="A340" s="3">
        <v>46043.15861699074</v>
      </c>
      <c r="B340" s="5" t="s">
        <v>1481</v>
      </c>
      <c r="C340" s="5" t="s">
        <v>1482</v>
      </c>
      <c r="D340" s="4" t="s">
        <v>1483</v>
      </c>
      <c r="E340" s="5" t="s">
        <v>1484</v>
      </c>
      <c r="F340" s="5" t="s">
        <v>20</v>
      </c>
      <c r="G340" s="5" t="s">
        <v>69</v>
      </c>
      <c r="H340" s="5" t="s">
        <v>51</v>
      </c>
      <c r="I340" s="5" t="s">
        <v>23</v>
      </c>
      <c r="J340" s="5" t="s">
        <v>24</v>
      </c>
      <c r="K340" s="6" t="str">
        <f t="shared" si="1"/>
        <v>085232994042</v>
      </c>
      <c r="L340" s="6" t="str">
        <f>IFERROR(
VLOOKUP(
TRIM(
IF(ISNUMBER(FIND(",",E340)),
LEFT(E340,FIND(",",E340)-1),
E340
)
),
master!A:B,
2,
FALSE
),
"Belum ada mapping"
)
</f>
        <v>Jawa Timur</v>
      </c>
      <c r="M340" s="6">
        <f>IFERROR(__xludf.DUMMYFUNCTION("IF(REGEXMATCH(I340,""Cari Kerja""),1,0)
"),1.0)</f>
        <v>1</v>
      </c>
      <c r="N340" s="6">
        <f>IFERROR(__xludf.DUMMYFUNCTION("IF(REGEXMATCH(I340,""Upskill""),1,0)
"),1.0)</f>
        <v>1</v>
      </c>
      <c r="O340" s="6">
        <f>IFERROR(__xludf.DUMMYFUNCTION("IF(REGEXMATCH(I340,""Networking""),1,0)
"),1.0)</f>
        <v>1</v>
      </c>
      <c r="P340" s="6">
        <f>IFERROR(__xludf.DUMMYFUNCTION("IF(REGEXMATCH(I340,""Switch Career""),1,0)
"),0.0)</f>
        <v>0</v>
      </c>
    </row>
    <row r="341" ht="22.5" customHeight="1">
      <c r="A341" s="3">
        <v>46046.31566950231</v>
      </c>
      <c r="B341" s="5" t="s">
        <v>1485</v>
      </c>
      <c r="C341" s="5" t="s">
        <v>1486</v>
      </c>
      <c r="D341" s="4" t="s">
        <v>1487</v>
      </c>
      <c r="E341" s="5" t="s">
        <v>207</v>
      </c>
      <c r="F341" s="5" t="s">
        <v>49</v>
      </c>
      <c r="G341" s="5" t="s">
        <v>69</v>
      </c>
      <c r="H341" s="5" t="s">
        <v>87</v>
      </c>
      <c r="I341" s="5" t="s">
        <v>31</v>
      </c>
      <c r="J341" s="5" t="s">
        <v>24</v>
      </c>
      <c r="K341" s="6" t="str">
        <f t="shared" si="1"/>
        <v>0895358910541</v>
      </c>
      <c r="L341" s="6" t="str">
        <f>IFERROR(
VLOOKUP(
TRIM(
IF(ISNUMBER(FIND(",",E341)),
LEFT(E341,FIND(",",E341)-1),
E341
)
),
master!A:B,
2,
FALSE
),
"Belum ada mapping"
)
</f>
        <v>Jakarta</v>
      </c>
      <c r="M341" s="6">
        <f>IFERROR(__xludf.DUMMYFUNCTION("IF(REGEXMATCH(I341,""Cari Kerja""),1,0)
"),1.0)</f>
        <v>1</v>
      </c>
      <c r="N341" s="6">
        <f>IFERROR(__xludf.DUMMYFUNCTION("IF(REGEXMATCH(I341,""Upskill""),1,0)
"),1.0)</f>
        <v>1</v>
      </c>
      <c r="O341" s="6">
        <f>IFERROR(__xludf.DUMMYFUNCTION("IF(REGEXMATCH(I341,""Networking""),1,0)
"),1.0)</f>
        <v>1</v>
      </c>
      <c r="P341" s="6">
        <f>IFERROR(__xludf.DUMMYFUNCTION("IF(REGEXMATCH(I341,""Switch Career""),1,0)
"),1.0)</f>
        <v>1</v>
      </c>
    </row>
    <row r="342" ht="22.5" customHeight="1">
      <c r="A342" s="3">
        <v>46120.640766446755</v>
      </c>
      <c r="B342" s="5" t="s">
        <v>1488</v>
      </c>
      <c r="C342" s="5" t="s">
        <v>1489</v>
      </c>
      <c r="D342" s="4" t="s">
        <v>1490</v>
      </c>
      <c r="E342" s="5" t="s">
        <v>97</v>
      </c>
      <c r="F342" s="5" t="s">
        <v>20</v>
      </c>
      <c r="G342" s="5" t="s">
        <v>1077</v>
      </c>
      <c r="H342" s="5" t="s">
        <v>51</v>
      </c>
      <c r="I342" s="5" t="s">
        <v>23</v>
      </c>
      <c r="J342" s="5" t="s">
        <v>24</v>
      </c>
      <c r="K342" s="10" t="str">
        <f t="shared" si="1"/>
        <v>087747934729</v>
      </c>
      <c r="L342" s="10" t="str">
        <f>IFERROR(
VLOOKUP(
TRIM(
IF(ISNUMBER(FIND(",",E342)),
LEFT(E342,FIND(",",E342)-1),
E342
)
),
master!A:B,
2,
FALSE
),
"Belum ada mapping"
)
</f>
        <v>Jakarta</v>
      </c>
      <c r="M342" s="10">
        <f>IFERROR(__xludf.DUMMYFUNCTION("IF(REGEXMATCH(I342,""Cari Kerja""),1,0)
"),1.0)</f>
        <v>1</v>
      </c>
      <c r="N342" s="10">
        <f>IFERROR(__xludf.DUMMYFUNCTION("IF(REGEXMATCH(I342,""Upskill""),1,0)
"),1.0)</f>
        <v>1</v>
      </c>
      <c r="O342" s="10">
        <f>IFERROR(__xludf.DUMMYFUNCTION("IF(REGEXMATCH(I342,""Networking""),1,0)
"),1.0)</f>
        <v>1</v>
      </c>
      <c r="P342" s="10">
        <f>IFERROR(__xludf.DUMMYFUNCTION("IF(REGEXMATCH(I342,""Switch Career""),1,0)
"),0.0)</f>
        <v>0</v>
      </c>
    </row>
    <row r="343" ht="22.5" customHeight="1">
      <c r="A343" s="3">
        <v>46042.473014560186</v>
      </c>
      <c r="B343" s="5" t="s">
        <v>1491</v>
      </c>
      <c r="C343" s="5" t="s">
        <v>1492</v>
      </c>
      <c r="D343" s="4" t="s">
        <v>1493</v>
      </c>
      <c r="E343" s="5" t="s">
        <v>504</v>
      </c>
      <c r="F343" s="5" t="s">
        <v>49</v>
      </c>
      <c r="G343" s="5" t="s">
        <v>69</v>
      </c>
      <c r="H343" s="5" t="s">
        <v>93</v>
      </c>
      <c r="I343" s="5" t="s">
        <v>109</v>
      </c>
      <c r="J343" s="5" t="s">
        <v>24</v>
      </c>
      <c r="K343" s="6" t="str">
        <f t="shared" si="1"/>
        <v>082170583384</v>
      </c>
      <c r="L343" s="6" t="str">
        <f>IFERROR(
VLOOKUP(
TRIM(
IF(ISNUMBER(FIND(",",E343)),
LEFT(E343,FIND(",",E343)-1),
E343
)
),
master!A:B,
2,
FALSE
),
"Belum ada mapping"
)
</f>
        <v>Riau</v>
      </c>
      <c r="M343" s="6">
        <f>IFERROR(__xludf.DUMMYFUNCTION("IF(REGEXMATCH(I343,""Cari Kerja""),1,0)
"),1.0)</f>
        <v>1</v>
      </c>
      <c r="N343" s="6">
        <f>IFERROR(__xludf.DUMMYFUNCTION("IF(REGEXMATCH(I343,""Upskill""),1,0)
"),0.0)</f>
        <v>0</v>
      </c>
      <c r="O343" s="6">
        <f>IFERROR(__xludf.DUMMYFUNCTION("IF(REGEXMATCH(I343,""Networking""),1,0)
"),1.0)</f>
        <v>1</v>
      </c>
      <c r="P343" s="6">
        <f>IFERROR(__xludf.DUMMYFUNCTION("IF(REGEXMATCH(I343,""Switch Career""),1,0)
"),0.0)</f>
        <v>0</v>
      </c>
    </row>
    <row r="344" ht="22.5" customHeight="1">
      <c r="A344" s="3">
        <v>46041.93916130787</v>
      </c>
      <c r="B344" s="5" t="s">
        <v>1494</v>
      </c>
      <c r="C344" s="5" t="s">
        <v>1495</v>
      </c>
      <c r="D344" s="4" t="s">
        <v>1496</v>
      </c>
      <c r="E344" s="5" t="s">
        <v>42</v>
      </c>
      <c r="F344" s="5" t="s">
        <v>20</v>
      </c>
      <c r="G344" s="5" t="s">
        <v>1497</v>
      </c>
      <c r="H344" s="5" t="s">
        <v>51</v>
      </c>
      <c r="I344" s="5" t="s">
        <v>23</v>
      </c>
      <c r="J344" s="5" t="s">
        <v>38</v>
      </c>
      <c r="K344" s="6" t="str">
        <f t="shared" si="1"/>
        <v>082117630686</v>
      </c>
      <c r="L344" s="6" t="str">
        <f>IFERROR(
VLOOKUP(
TRIM(
IF(ISNUMBER(FIND(",",E344)),
LEFT(E344,FIND(",",E344)-1),
E344
)
),
master!A:B,
2,
FALSE
),
"Belum ada mapping"
)
</f>
        <v>Jawa Barat</v>
      </c>
      <c r="M344" s="6">
        <f>IFERROR(__xludf.DUMMYFUNCTION("IF(REGEXMATCH(I344,""Cari Kerja""),1,0)
"),1.0)</f>
        <v>1</v>
      </c>
      <c r="N344" s="6">
        <f>IFERROR(__xludf.DUMMYFUNCTION("IF(REGEXMATCH(I344,""Upskill""),1,0)
"),1.0)</f>
        <v>1</v>
      </c>
      <c r="O344" s="6">
        <f>IFERROR(__xludf.DUMMYFUNCTION("IF(REGEXMATCH(I344,""Networking""),1,0)
"),1.0)</f>
        <v>1</v>
      </c>
      <c r="P344" s="6">
        <f>IFERROR(__xludf.DUMMYFUNCTION("IF(REGEXMATCH(I344,""Switch Career""),1,0)
"),0.0)</f>
        <v>0</v>
      </c>
    </row>
    <row r="345" ht="22.5" customHeight="1">
      <c r="A345" s="3">
        <v>46049.07396541667</v>
      </c>
      <c r="B345" s="5" t="s">
        <v>1498</v>
      </c>
      <c r="C345" s="5" t="s">
        <v>1499</v>
      </c>
      <c r="D345" s="4" t="s">
        <v>1500</v>
      </c>
      <c r="E345" s="5" t="s">
        <v>775</v>
      </c>
      <c r="F345" s="5" t="s">
        <v>20</v>
      </c>
      <c r="G345" s="5" t="s">
        <v>1501</v>
      </c>
      <c r="H345" s="5" t="s">
        <v>225</v>
      </c>
      <c r="I345" s="5" t="s">
        <v>31</v>
      </c>
      <c r="J345" s="5" t="s">
        <v>24</v>
      </c>
      <c r="K345" s="6" t="str">
        <f t="shared" si="1"/>
        <v>081617555784</v>
      </c>
      <c r="L345" s="6" t="str">
        <f>IFERROR(
VLOOKUP(
TRIM(
IF(ISNUMBER(FIND(",",E345)),
LEFT(E345,FIND(",",E345)-1),
E345
)
),
master!A:B,
2,
FALSE
),
"Belum ada mapping"
)
</f>
        <v>Jakarta</v>
      </c>
      <c r="M345" s="6">
        <f>IFERROR(__xludf.DUMMYFUNCTION("IF(REGEXMATCH(I345,""Cari Kerja""),1,0)
"),1.0)</f>
        <v>1</v>
      </c>
      <c r="N345" s="6">
        <f>IFERROR(__xludf.DUMMYFUNCTION("IF(REGEXMATCH(I345,""Upskill""),1,0)
"),1.0)</f>
        <v>1</v>
      </c>
      <c r="O345" s="6">
        <f>IFERROR(__xludf.DUMMYFUNCTION("IF(REGEXMATCH(I345,""Networking""),1,0)
"),1.0)</f>
        <v>1</v>
      </c>
      <c r="P345" s="6">
        <f>IFERROR(__xludf.DUMMYFUNCTION("IF(REGEXMATCH(I345,""Switch Career""),1,0)
"),1.0)</f>
        <v>1</v>
      </c>
    </row>
    <row r="346" ht="22.5" customHeight="1">
      <c r="A346" s="7">
        <v>46041.399507361115</v>
      </c>
      <c r="B346" s="8" t="s">
        <v>1502</v>
      </c>
      <c r="C346" s="8" t="s">
        <v>1503</v>
      </c>
      <c r="D346" s="9" t="s">
        <v>1504</v>
      </c>
      <c r="E346" s="8" t="s">
        <v>1505</v>
      </c>
      <c r="F346" s="8" t="s">
        <v>20</v>
      </c>
      <c r="G346" s="8" t="s">
        <v>656</v>
      </c>
      <c r="H346" s="8" t="s">
        <v>160</v>
      </c>
      <c r="I346" s="8" t="s">
        <v>31</v>
      </c>
      <c r="J346" s="8" t="s">
        <v>24</v>
      </c>
      <c r="K346" s="6" t="str">
        <f t="shared" si="1"/>
        <v>089675669690</v>
      </c>
      <c r="L346" s="6" t="str">
        <f>IFERROR(
VLOOKUP(
TRIM(
IF(ISNUMBER(FIND(",",E346)),
LEFT(E346,FIND(",",E346)-1),
E346
)
),
master!A:B,
2,
FALSE
),
"Belum ada mapping"
)
</f>
        <v>Jawa Tengah</v>
      </c>
      <c r="M346" s="6">
        <f>IFERROR(__xludf.DUMMYFUNCTION("IF(REGEXMATCH(I346,""Cari Kerja""),1,0)
"),1.0)</f>
        <v>1</v>
      </c>
      <c r="N346" s="6">
        <f>IFERROR(__xludf.DUMMYFUNCTION("IF(REGEXMATCH(I346,""Upskill""),1,0)
"),1.0)</f>
        <v>1</v>
      </c>
      <c r="O346" s="6">
        <f>IFERROR(__xludf.DUMMYFUNCTION("IF(REGEXMATCH(I346,""Networking""),1,0)
"),1.0)</f>
        <v>1</v>
      </c>
      <c r="P346" s="6">
        <f>IFERROR(__xludf.DUMMYFUNCTION("IF(REGEXMATCH(I346,""Switch Career""),1,0)
"),1.0)</f>
        <v>1</v>
      </c>
    </row>
    <row r="347" ht="22.5" customHeight="1">
      <c r="A347" s="3">
        <v>46043.29232799768</v>
      </c>
      <c r="B347" s="5" t="s">
        <v>1506</v>
      </c>
      <c r="C347" s="5" t="s">
        <v>1507</v>
      </c>
      <c r="D347" s="4" t="s">
        <v>1508</v>
      </c>
      <c r="E347" s="5" t="s">
        <v>1509</v>
      </c>
      <c r="F347" s="5" t="s">
        <v>20</v>
      </c>
      <c r="G347" s="5" t="s">
        <v>1510</v>
      </c>
      <c r="H347" s="5" t="s">
        <v>51</v>
      </c>
      <c r="I347" s="5" t="s">
        <v>23</v>
      </c>
      <c r="J347" s="5" t="s">
        <v>24</v>
      </c>
      <c r="K347" s="6" t="str">
        <f t="shared" si="1"/>
        <v>087863483496</v>
      </c>
      <c r="L347" s="6" t="str">
        <f>IFERROR(
VLOOKUP(
TRIM(
IF(ISNUMBER(FIND(",",E347)),
LEFT(E347,FIND(",",E347)-1),
E347
)
),
master!A:B,
2,
FALSE
),
"Belum ada mapping"
)
</f>
        <v>Jawa Tengah</v>
      </c>
      <c r="M347" s="6">
        <f>IFERROR(__xludf.DUMMYFUNCTION("IF(REGEXMATCH(I347,""Cari Kerja""),1,0)
"),1.0)</f>
        <v>1</v>
      </c>
      <c r="N347" s="6">
        <f>IFERROR(__xludf.DUMMYFUNCTION("IF(REGEXMATCH(I347,""Upskill""),1,0)
"),1.0)</f>
        <v>1</v>
      </c>
      <c r="O347" s="6">
        <f>IFERROR(__xludf.DUMMYFUNCTION("IF(REGEXMATCH(I347,""Networking""),1,0)
"),1.0)</f>
        <v>1</v>
      </c>
      <c r="P347" s="6">
        <f>IFERROR(__xludf.DUMMYFUNCTION("IF(REGEXMATCH(I347,""Switch Career""),1,0)
"),0.0)</f>
        <v>0</v>
      </c>
    </row>
    <row r="348" ht="22.5" customHeight="1">
      <c r="A348" s="3">
        <v>46043.62826009259</v>
      </c>
      <c r="B348" s="5" t="s">
        <v>1511</v>
      </c>
      <c r="C348" s="5" t="s">
        <v>1512</v>
      </c>
      <c r="D348" s="4" t="s">
        <v>1513</v>
      </c>
      <c r="E348" s="5" t="s">
        <v>276</v>
      </c>
      <c r="F348" s="5" t="s">
        <v>20</v>
      </c>
      <c r="G348" s="5" t="s">
        <v>1514</v>
      </c>
      <c r="H348" s="5" t="s">
        <v>439</v>
      </c>
      <c r="I348" s="5" t="s">
        <v>31</v>
      </c>
      <c r="J348" s="5" t="s">
        <v>38</v>
      </c>
      <c r="K348" s="6" t="str">
        <f t="shared" si="1"/>
        <v>081334198736</v>
      </c>
      <c r="L348" s="6" t="str">
        <f>IFERROR(
VLOOKUP(
TRIM(
IF(ISNUMBER(FIND(",",E348)),
LEFT(E348,FIND(",",E348)-1),
E348
)
),
master!A:B,
2,
FALSE
),
"Belum ada mapping"
)
</f>
        <v>Jawa Timur</v>
      </c>
      <c r="M348" s="6">
        <f>IFERROR(__xludf.DUMMYFUNCTION("IF(REGEXMATCH(I348,""Cari Kerja""),1,0)
"),1.0)</f>
        <v>1</v>
      </c>
      <c r="N348" s="6">
        <f>IFERROR(__xludf.DUMMYFUNCTION("IF(REGEXMATCH(I348,""Upskill""),1,0)
"),1.0)</f>
        <v>1</v>
      </c>
      <c r="O348" s="6">
        <f>IFERROR(__xludf.DUMMYFUNCTION("IF(REGEXMATCH(I348,""Networking""),1,0)
"),1.0)</f>
        <v>1</v>
      </c>
      <c r="P348" s="6">
        <f>IFERROR(__xludf.DUMMYFUNCTION("IF(REGEXMATCH(I348,""Switch Career""),1,0)
"),1.0)</f>
        <v>1</v>
      </c>
    </row>
    <row r="349" ht="22.5" customHeight="1">
      <c r="A349" s="7">
        <v>46041.39962784722</v>
      </c>
      <c r="B349" s="8" t="s">
        <v>1515</v>
      </c>
      <c r="C349" s="8" t="s">
        <v>1516</v>
      </c>
      <c r="D349" s="9" t="s">
        <v>1517</v>
      </c>
      <c r="E349" s="8" t="s">
        <v>207</v>
      </c>
      <c r="F349" s="8" t="s">
        <v>49</v>
      </c>
      <c r="G349" s="8" t="s">
        <v>1518</v>
      </c>
      <c r="H349" s="8" t="s">
        <v>619</v>
      </c>
      <c r="I349" s="8" t="s">
        <v>52</v>
      </c>
      <c r="J349" s="8" t="s">
        <v>24</v>
      </c>
      <c r="K349" s="6" t="str">
        <f t="shared" si="1"/>
        <v>081770433325</v>
      </c>
      <c r="L349" s="6" t="str">
        <f>IFERROR(
VLOOKUP(
TRIM(
IF(ISNUMBER(FIND(",",E349)),
LEFT(E349,FIND(",",E349)-1),
E349
)
),
master!A:B,
2,
FALSE
),
"Belum ada mapping"
)
</f>
        <v>Jakarta</v>
      </c>
      <c r="M349" s="6">
        <f>IFERROR(__xludf.DUMMYFUNCTION("IF(REGEXMATCH(I349,""Cari Kerja""),1,0)
"),0.0)</f>
        <v>0</v>
      </c>
      <c r="N349" s="6">
        <f>IFERROR(__xludf.DUMMYFUNCTION("IF(REGEXMATCH(I349,""Upskill""),1,0)
"),1.0)</f>
        <v>1</v>
      </c>
      <c r="O349" s="6">
        <f>IFERROR(__xludf.DUMMYFUNCTION("IF(REGEXMATCH(I349,""Networking""),1,0)
"),1.0)</f>
        <v>1</v>
      </c>
      <c r="P349" s="6">
        <f>IFERROR(__xludf.DUMMYFUNCTION("IF(REGEXMATCH(I349,""Switch Career""),1,0)
"),1.0)</f>
        <v>1</v>
      </c>
    </row>
    <row r="350" ht="22.5" customHeight="1">
      <c r="A350" s="7">
        <v>46040.35927527778</v>
      </c>
      <c r="B350" s="8" t="s">
        <v>1519</v>
      </c>
      <c r="C350" s="8" t="s">
        <v>1520</v>
      </c>
      <c r="D350" s="9" t="s">
        <v>1521</v>
      </c>
      <c r="E350" s="8" t="s">
        <v>218</v>
      </c>
      <c r="F350" s="8" t="s">
        <v>49</v>
      </c>
      <c r="G350" s="8" t="s">
        <v>1522</v>
      </c>
      <c r="H350" s="8" t="s">
        <v>1523</v>
      </c>
      <c r="I350" s="8" t="s">
        <v>52</v>
      </c>
      <c r="J350" s="8" t="s">
        <v>24</v>
      </c>
      <c r="K350" s="6" t="str">
        <f t="shared" si="1"/>
        <v>08561751046</v>
      </c>
      <c r="L350" s="6" t="str">
        <f>IFERROR(
VLOOKUP(
TRIM(
IF(ISNUMBER(FIND(",",E350)),
LEFT(E350,FIND(",",E350)-1),
E350
)
),
master!A:B,
2,
FALSE
),
"Belum ada mapping"
)
</f>
        <v>Banten</v>
      </c>
      <c r="M350" s="6">
        <f>IFERROR(__xludf.DUMMYFUNCTION("IF(REGEXMATCH(I350,""Cari Kerja""),1,0)
"),0.0)</f>
        <v>0</v>
      </c>
      <c r="N350" s="6">
        <f>IFERROR(__xludf.DUMMYFUNCTION("IF(REGEXMATCH(I350,""Upskill""),1,0)
"),1.0)</f>
        <v>1</v>
      </c>
      <c r="O350" s="6">
        <f>IFERROR(__xludf.DUMMYFUNCTION("IF(REGEXMATCH(I350,""Networking""),1,0)
"),1.0)</f>
        <v>1</v>
      </c>
      <c r="P350" s="6">
        <f>IFERROR(__xludf.DUMMYFUNCTION("IF(REGEXMATCH(I350,""Switch Career""),1,0)
"),1.0)</f>
        <v>1</v>
      </c>
    </row>
    <row r="351" ht="22.5" customHeight="1">
      <c r="A351" s="7">
        <v>46040.43406773148</v>
      </c>
      <c r="B351" s="8" t="s">
        <v>1524</v>
      </c>
      <c r="C351" s="8" t="s">
        <v>1525</v>
      </c>
      <c r="D351" s="9" t="s">
        <v>1526</v>
      </c>
      <c r="E351" s="8" t="s">
        <v>35</v>
      </c>
      <c r="F351" s="8" t="s">
        <v>49</v>
      </c>
      <c r="G351" s="8" t="s">
        <v>1527</v>
      </c>
      <c r="H351" s="8" t="s">
        <v>1528</v>
      </c>
      <c r="I351" s="8" t="s">
        <v>154</v>
      </c>
      <c r="J351" s="8" t="s">
        <v>24</v>
      </c>
      <c r="K351" s="6" t="str">
        <f t="shared" si="1"/>
        <v>081336096029</v>
      </c>
      <c r="L351" s="6" t="str">
        <f>IFERROR(
VLOOKUP(
TRIM(
IF(ISNUMBER(FIND(",",E351)),
LEFT(E351,FIND(",",E351)-1),
E351
)
),
master!A:B,
2,
FALSE
),
"Belum ada mapping"
)
</f>
        <v>Jawa Timur</v>
      </c>
      <c r="M351" s="6">
        <f>IFERROR(__xludf.DUMMYFUNCTION("IF(REGEXMATCH(I351,""Cari Kerja""),1,0)
"),0.0)</f>
        <v>0</v>
      </c>
      <c r="N351" s="6">
        <f>IFERROR(__xludf.DUMMYFUNCTION("IF(REGEXMATCH(I351,""Upskill""),1,0)
"),1.0)</f>
        <v>1</v>
      </c>
      <c r="O351" s="6">
        <f>IFERROR(__xludf.DUMMYFUNCTION("IF(REGEXMATCH(I351,""Networking""),1,0)
"),0.0)</f>
        <v>0</v>
      </c>
      <c r="P351" s="6">
        <f>IFERROR(__xludf.DUMMYFUNCTION("IF(REGEXMATCH(I351,""Switch Career""),1,0)
"),1.0)</f>
        <v>1</v>
      </c>
    </row>
    <row r="352" ht="22.5" customHeight="1">
      <c r="A352" s="7">
        <v>46040.36210331018</v>
      </c>
      <c r="B352" s="8" t="s">
        <v>1529</v>
      </c>
      <c r="C352" s="8" t="s">
        <v>1530</v>
      </c>
      <c r="D352" s="9" t="s">
        <v>1531</v>
      </c>
      <c r="E352" s="8" t="s">
        <v>74</v>
      </c>
      <c r="F352" s="8" t="s">
        <v>20</v>
      </c>
      <c r="G352" s="8" t="s">
        <v>1532</v>
      </c>
      <c r="H352" s="8" t="s">
        <v>51</v>
      </c>
      <c r="I352" s="8" t="s">
        <v>59</v>
      </c>
      <c r="J352" s="8" t="s">
        <v>24</v>
      </c>
      <c r="K352" s="6" t="str">
        <f t="shared" si="1"/>
        <v>082113090235</v>
      </c>
      <c r="L352" s="6" t="str">
        <f>IFERROR(
VLOOKUP(
TRIM(
IF(ISNUMBER(FIND(",",E352)),
LEFT(E352,FIND(",",E352)-1),
E352
)
),
master!A:B,
2,
FALSE
),
"Belum ada mapping"
)
</f>
        <v>Banten</v>
      </c>
      <c r="M352" s="6">
        <f>IFERROR(__xludf.DUMMYFUNCTION("IF(REGEXMATCH(I352,""Cari Kerja""),1,0)
"),0.0)</f>
        <v>0</v>
      </c>
      <c r="N352" s="6">
        <f>IFERROR(__xludf.DUMMYFUNCTION("IF(REGEXMATCH(I352,""Upskill""),1,0)
"),1.0)</f>
        <v>1</v>
      </c>
      <c r="O352" s="6">
        <f>IFERROR(__xludf.DUMMYFUNCTION("IF(REGEXMATCH(I352,""Networking""),1,0)
"),1.0)</f>
        <v>1</v>
      </c>
      <c r="P352" s="6">
        <f>IFERROR(__xludf.DUMMYFUNCTION("IF(REGEXMATCH(I352,""Switch Career""),1,0)
"),0.0)</f>
        <v>0</v>
      </c>
    </row>
    <row r="353" ht="22.5" customHeight="1">
      <c r="A353" s="7">
        <v>46040.35402481482</v>
      </c>
      <c r="B353" s="8" t="s">
        <v>1533</v>
      </c>
      <c r="C353" s="8" t="s">
        <v>1534</v>
      </c>
      <c r="D353" s="9" t="s">
        <v>1535</v>
      </c>
      <c r="E353" s="8" t="s">
        <v>1536</v>
      </c>
      <c r="F353" s="8" t="s">
        <v>20</v>
      </c>
      <c r="G353" s="8" t="s">
        <v>1537</v>
      </c>
      <c r="H353" s="8" t="s">
        <v>51</v>
      </c>
      <c r="I353" s="8" t="s">
        <v>31</v>
      </c>
      <c r="J353" s="8" t="s">
        <v>24</v>
      </c>
      <c r="K353" s="6" t="str">
        <f t="shared" si="1"/>
        <v>085236669371</v>
      </c>
      <c r="L353" s="6" t="str">
        <f>IFERROR(
VLOOKUP(
TRIM(
IF(ISNUMBER(FIND(",",E353)),
LEFT(E353,FIND(",",E353)-1),
E353
)
),
master!A:B,
2,
FALSE
),
"Belum ada mapping"
)
</f>
        <v>Jawa Timur</v>
      </c>
      <c r="M353" s="6">
        <f>IFERROR(__xludf.DUMMYFUNCTION("IF(REGEXMATCH(I353,""Cari Kerja""),1,0)
"),1.0)</f>
        <v>1</v>
      </c>
      <c r="N353" s="6">
        <f>IFERROR(__xludf.DUMMYFUNCTION("IF(REGEXMATCH(I353,""Upskill""),1,0)
"),1.0)</f>
        <v>1</v>
      </c>
      <c r="O353" s="6">
        <f>IFERROR(__xludf.DUMMYFUNCTION("IF(REGEXMATCH(I353,""Networking""),1,0)
"),1.0)</f>
        <v>1</v>
      </c>
      <c r="P353" s="6">
        <f>IFERROR(__xludf.DUMMYFUNCTION("IF(REGEXMATCH(I353,""Switch Career""),1,0)
"),1.0)</f>
        <v>1</v>
      </c>
    </row>
    <row r="354" ht="22.5" customHeight="1">
      <c r="A354" s="3">
        <v>46046.28812747685</v>
      </c>
      <c r="B354" s="5" t="s">
        <v>1538</v>
      </c>
      <c r="C354" s="5" t="s">
        <v>1539</v>
      </c>
      <c r="D354" s="4" t="s">
        <v>1540</v>
      </c>
      <c r="E354" s="5" t="s">
        <v>1541</v>
      </c>
      <c r="F354" s="5" t="s">
        <v>20</v>
      </c>
      <c r="G354" s="5" t="s">
        <v>1542</v>
      </c>
      <c r="H354" s="5" t="s">
        <v>51</v>
      </c>
      <c r="I354" s="5" t="s">
        <v>13</v>
      </c>
      <c r="J354" s="5" t="s">
        <v>76</v>
      </c>
      <c r="K354" s="6" t="str">
        <f t="shared" si="1"/>
        <v>082334715488</v>
      </c>
      <c r="L354" s="6" t="str">
        <f>IFERROR(
VLOOKUP(
TRIM(
IF(ISNUMBER(FIND(",",E354)),
LEFT(E354,FIND(",",E354)-1),
E354
)
),
master!A:B,
2,
FALSE
),
"Belum ada mapping"
)
</f>
        <v>Jawa Timur</v>
      </c>
      <c r="M354" s="6">
        <f>IFERROR(__xludf.DUMMYFUNCTION("IF(REGEXMATCH(I354,""Cari Kerja""),1,0)
"),0.0)</f>
        <v>0</v>
      </c>
      <c r="N354" s="6">
        <f>IFERROR(__xludf.DUMMYFUNCTION("IF(REGEXMATCH(I354,""Upskill""),1,0)
"),1.0)</f>
        <v>1</v>
      </c>
      <c r="O354" s="6">
        <f>IFERROR(__xludf.DUMMYFUNCTION("IF(REGEXMATCH(I354,""Networking""),1,0)
"),0.0)</f>
        <v>0</v>
      </c>
      <c r="P354" s="6">
        <f>IFERROR(__xludf.DUMMYFUNCTION("IF(REGEXMATCH(I354,""Switch Career""),1,0)
"),0.0)</f>
        <v>0</v>
      </c>
    </row>
    <row r="355" ht="22.5" customHeight="1">
      <c r="A355" s="7">
        <v>46040.35054310186</v>
      </c>
      <c r="B355" s="8" t="s">
        <v>1543</v>
      </c>
      <c r="C355" s="8" t="s">
        <v>1544</v>
      </c>
      <c r="D355" s="9" t="s">
        <v>1545</v>
      </c>
      <c r="E355" s="8" t="s">
        <v>1546</v>
      </c>
      <c r="F355" s="8" t="s">
        <v>49</v>
      </c>
      <c r="G355" s="8" t="s">
        <v>1547</v>
      </c>
      <c r="H355" s="8" t="s">
        <v>305</v>
      </c>
      <c r="I355" s="8" t="s">
        <v>23</v>
      </c>
      <c r="J355" s="8" t="s">
        <v>24</v>
      </c>
      <c r="K355" s="6" t="str">
        <f t="shared" si="1"/>
        <v>082166387502</v>
      </c>
      <c r="L355" s="6" t="str">
        <f>IFERROR(
VLOOKUP(
TRIM(
IF(ISNUMBER(FIND(",",E355)),
LEFT(E355,FIND(",",E355)-1),
E355
)
),
master!A:B,
2,
FALSE
),
"Belum ada mapping"
)
</f>
        <v>Sumatera Utara</v>
      </c>
      <c r="M355" s="6">
        <f>IFERROR(__xludf.DUMMYFUNCTION("IF(REGEXMATCH(I355,""Cari Kerja""),1,0)
"),1.0)</f>
        <v>1</v>
      </c>
      <c r="N355" s="6">
        <f>IFERROR(__xludf.DUMMYFUNCTION("IF(REGEXMATCH(I355,""Upskill""),1,0)
"),1.0)</f>
        <v>1</v>
      </c>
      <c r="O355" s="6">
        <f>IFERROR(__xludf.DUMMYFUNCTION("IF(REGEXMATCH(I355,""Networking""),1,0)
"),1.0)</f>
        <v>1</v>
      </c>
      <c r="P355" s="6">
        <f>IFERROR(__xludf.DUMMYFUNCTION("IF(REGEXMATCH(I355,""Switch Career""),1,0)
"),0.0)</f>
        <v>0</v>
      </c>
    </row>
    <row r="356" ht="22.5" customHeight="1">
      <c r="A356" s="3">
        <v>46121.616758993056</v>
      </c>
      <c r="B356" s="5" t="s">
        <v>1548</v>
      </c>
      <c r="C356" s="5" t="s">
        <v>1549</v>
      </c>
      <c r="D356" s="4" t="s">
        <v>1550</v>
      </c>
      <c r="E356" s="5" t="s">
        <v>207</v>
      </c>
      <c r="F356" s="5" t="s">
        <v>20</v>
      </c>
      <c r="G356" s="5" t="s">
        <v>365</v>
      </c>
      <c r="H356" s="5" t="s">
        <v>245</v>
      </c>
      <c r="I356" s="5" t="s">
        <v>31</v>
      </c>
      <c r="J356" s="5" t="s">
        <v>24</v>
      </c>
      <c r="K356" s="10" t="str">
        <f t="shared" si="1"/>
        <v>082128773221</v>
      </c>
      <c r="L356" s="10" t="str">
        <f>IFERROR(
VLOOKUP(
TRIM(
IF(ISNUMBER(FIND(",",E356)),
LEFT(E356,FIND(",",E356)-1),
E356
)
),
master!A:B,
2,
FALSE
),
"Belum ada mapping"
)
</f>
        <v>Jakarta</v>
      </c>
      <c r="M356" s="10">
        <f>IFERROR(__xludf.DUMMYFUNCTION("IF(REGEXMATCH(I356,""Cari Kerja""),1,0)
"),1.0)</f>
        <v>1</v>
      </c>
      <c r="N356" s="10">
        <f>IFERROR(__xludf.DUMMYFUNCTION("IF(REGEXMATCH(I356,""Upskill""),1,0)
"),1.0)</f>
        <v>1</v>
      </c>
      <c r="O356" s="10">
        <f>IFERROR(__xludf.DUMMYFUNCTION("IF(REGEXMATCH(I356,""Networking""),1,0)
"),1.0)</f>
        <v>1</v>
      </c>
      <c r="P356" s="10">
        <f>IFERROR(__xludf.DUMMYFUNCTION("IF(REGEXMATCH(I356,""Switch Career""),1,0)
"),1.0)</f>
        <v>1</v>
      </c>
    </row>
    <row r="357" ht="22.5" customHeight="1">
      <c r="A357" s="3">
        <v>46042.40431056713</v>
      </c>
      <c r="B357" s="5" t="s">
        <v>1551</v>
      </c>
      <c r="C357" s="5" t="s">
        <v>1552</v>
      </c>
      <c r="D357" s="4" t="s">
        <v>1553</v>
      </c>
      <c r="E357" s="5" t="s">
        <v>35</v>
      </c>
      <c r="F357" s="5" t="s">
        <v>49</v>
      </c>
      <c r="G357" s="5" t="s">
        <v>1554</v>
      </c>
      <c r="H357" s="5" t="s">
        <v>51</v>
      </c>
      <c r="I357" s="5" t="s">
        <v>52</v>
      </c>
      <c r="J357" s="5" t="s">
        <v>24</v>
      </c>
      <c r="K357" s="6" t="str">
        <f t="shared" si="1"/>
        <v>081231499396</v>
      </c>
      <c r="L357" s="6" t="str">
        <f>IFERROR(
VLOOKUP(
TRIM(
IF(ISNUMBER(FIND(",",E357)),
LEFT(E357,FIND(",",E357)-1),
E357
)
),
master!A:B,
2,
FALSE
),
"Belum ada mapping"
)
</f>
        <v>Jawa Timur</v>
      </c>
      <c r="M357" s="6">
        <f>IFERROR(__xludf.DUMMYFUNCTION("IF(REGEXMATCH(I357,""Cari Kerja""),1,0)
"),0.0)</f>
        <v>0</v>
      </c>
      <c r="N357" s="6">
        <f>IFERROR(__xludf.DUMMYFUNCTION("IF(REGEXMATCH(I357,""Upskill""),1,0)
"),1.0)</f>
        <v>1</v>
      </c>
      <c r="O357" s="6">
        <f>IFERROR(__xludf.DUMMYFUNCTION("IF(REGEXMATCH(I357,""Networking""),1,0)
"),1.0)</f>
        <v>1</v>
      </c>
      <c r="P357" s="6">
        <f>IFERROR(__xludf.DUMMYFUNCTION("IF(REGEXMATCH(I357,""Switch Career""),1,0)
"),1.0)</f>
        <v>1</v>
      </c>
    </row>
    <row r="358" ht="22.5" customHeight="1">
      <c r="A358" s="7">
        <v>46040.35396641203</v>
      </c>
      <c r="B358" s="8" t="s">
        <v>1555</v>
      </c>
      <c r="C358" s="8" t="s">
        <v>1556</v>
      </c>
      <c r="D358" s="9" t="s">
        <v>1557</v>
      </c>
      <c r="E358" s="8" t="s">
        <v>596</v>
      </c>
      <c r="F358" s="8" t="s">
        <v>20</v>
      </c>
      <c r="G358" s="8" t="s">
        <v>1558</v>
      </c>
      <c r="H358" s="8" t="s">
        <v>1559</v>
      </c>
      <c r="I358" s="8" t="s">
        <v>13</v>
      </c>
      <c r="J358" s="8" t="s">
        <v>24</v>
      </c>
      <c r="K358" s="6" t="str">
        <f t="shared" si="1"/>
        <v>085352647575</v>
      </c>
      <c r="L358" s="6" t="str">
        <f>IFERROR(
VLOOKUP(
TRIM(
IF(ISNUMBER(FIND(",",E358)),
LEFT(E358,FIND(",",E358)-1),
E358
)
),
master!A:B,
2,
FALSE
),
"Belum ada mapping"
)
</f>
        <v>Jawa Timur</v>
      </c>
      <c r="M358" s="6">
        <f>IFERROR(__xludf.DUMMYFUNCTION("IF(REGEXMATCH(I358,""Cari Kerja""),1,0)
"),0.0)</f>
        <v>0</v>
      </c>
      <c r="N358" s="6">
        <f>IFERROR(__xludf.DUMMYFUNCTION("IF(REGEXMATCH(I358,""Upskill""),1,0)
"),1.0)</f>
        <v>1</v>
      </c>
      <c r="O358" s="6">
        <f>IFERROR(__xludf.DUMMYFUNCTION("IF(REGEXMATCH(I358,""Networking""),1,0)
"),0.0)</f>
        <v>0</v>
      </c>
      <c r="P358" s="6">
        <f>IFERROR(__xludf.DUMMYFUNCTION("IF(REGEXMATCH(I358,""Switch Career""),1,0)
"),0.0)</f>
        <v>0</v>
      </c>
    </row>
    <row r="359" ht="22.5" customHeight="1">
      <c r="A359" s="3">
        <v>46051.40308305556</v>
      </c>
      <c r="B359" s="5" t="s">
        <v>1560</v>
      </c>
      <c r="C359" s="5" t="s">
        <v>1561</v>
      </c>
      <c r="D359" s="4" t="s">
        <v>1562</v>
      </c>
      <c r="E359" s="5" t="s">
        <v>775</v>
      </c>
      <c r="F359" s="5" t="s">
        <v>49</v>
      </c>
      <c r="G359" s="5" t="s">
        <v>1563</v>
      </c>
      <c r="H359" s="5" t="s">
        <v>51</v>
      </c>
      <c r="I359" s="5" t="s">
        <v>13</v>
      </c>
      <c r="J359" s="5" t="s">
        <v>24</v>
      </c>
      <c r="K359" s="10" t="str">
        <f t="shared" si="1"/>
        <v>082314973750</v>
      </c>
      <c r="L359" s="10" t="str">
        <f>IFERROR(
VLOOKUP(
TRIM(
IF(ISNUMBER(FIND(",",E359)),
LEFT(E359,FIND(",",E359)-1),
E359
)
),
master!A:B,
2,
FALSE
),
"Belum ada mapping"
)
</f>
        <v>Jakarta</v>
      </c>
      <c r="M359" s="6">
        <f>IFERROR(__xludf.DUMMYFUNCTION("IF(REGEXMATCH(I359,""Cari Kerja""),1,0)
"),0.0)</f>
        <v>0</v>
      </c>
      <c r="N359" s="6">
        <f>IFERROR(__xludf.DUMMYFUNCTION("IF(REGEXMATCH(I359,""Upskill""),1,0)
"),1.0)</f>
        <v>1</v>
      </c>
      <c r="O359" s="6">
        <f>IFERROR(__xludf.DUMMYFUNCTION("IF(REGEXMATCH(I359,""Networking""),1,0)
"),0.0)</f>
        <v>0</v>
      </c>
      <c r="P359" s="6">
        <f>IFERROR(__xludf.DUMMYFUNCTION("IF(REGEXMATCH(I359,""Switch Career""),1,0)
"),0.0)</f>
        <v>0</v>
      </c>
    </row>
    <row r="360" ht="22.5" customHeight="1">
      <c r="A360" s="3">
        <v>46046.732198935184</v>
      </c>
      <c r="B360" s="5" t="s">
        <v>1564</v>
      </c>
      <c r="C360" s="5" t="s">
        <v>1565</v>
      </c>
      <c r="D360" s="4" t="s">
        <v>1566</v>
      </c>
      <c r="E360" s="5" t="s">
        <v>48</v>
      </c>
      <c r="F360" s="5" t="s">
        <v>20</v>
      </c>
      <c r="G360" s="5" t="s">
        <v>1567</v>
      </c>
      <c r="H360" s="5" t="s">
        <v>51</v>
      </c>
      <c r="I360" s="5" t="s">
        <v>31</v>
      </c>
      <c r="J360" s="5" t="s">
        <v>76</v>
      </c>
      <c r="K360" s="6" t="str">
        <f t="shared" si="1"/>
        <v>081248600418</v>
      </c>
      <c r="L360" s="6" t="str">
        <f>IFERROR(
VLOOKUP(
TRIM(
IF(ISNUMBER(FIND(",",E360)),
LEFT(E360,FIND(",",E360)-1),
E360
)
),
master!A:B,
2,
FALSE
),
"Belum ada mapping"
)
</f>
        <v>DI Yogyakarta</v>
      </c>
      <c r="M360" s="6">
        <f>IFERROR(__xludf.DUMMYFUNCTION("IF(REGEXMATCH(I360,""Cari Kerja""),1,0)
"),1.0)</f>
        <v>1</v>
      </c>
      <c r="N360" s="6">
        <f>IFERROR(__xludf.DUMMYFUNCTION("IF(REGEXMATCH(I360,""Upskill""),1,0)
"),1.0)</f>
        <v>1</v>
      </c>
      <c r="O360" s="6">
        <f>IFERROR(__xludf.DUMMYFUNCTION("IF(REGEXMATCH(I360,""Networking""),1,0)
"),1.0)</f>
        <v>1</v>
      </c>
      <c r="P360" s="6">
        <f>IFERROR(__xludf.DUMMYFUNCTION("IF(REGEXMATCH(I360,""Switch Career""),1,0)
"),1.0)</f>
        <v>1</v>
      </c>
    </row>
    <row r="361" ht="22.5" customHeight="1">
      <c r="A361" s="3">
        <v>46051.39152185185</v>
      </c>
      <c r="B361" s="5" t="s">
        <v>1568</v>
      </c>
      <c r="C361" s="5" t="s">
        <v>1569</v>
      </c>
      <c r="D361" s="4" t="s">
        <v>1570</v>
      </c>
      <c r="E361" s="5" t="s">
        <v>551</v>
      </c>
      <c r="F361" s="5" t="s">
        <v>20</v>
      </c>
      <c r="G361" s="5" t="s">
        <v>1571</v>
      </c>
      <c r="H361" s="5" t="s">
        <v>209</v>
      </c>
      <c r="I361" s="5" t="s">
        <v>23</v>
      </c>
      <c r="J361" s="5" t="s">
        <v>24</v>
      </c>
      <c r="K361" s="10" t="str">
        <f t="shared" si="1"/>
        <v>085693849228</v>
      </c>
      <c r="L361" s="10" t="str">
        <f>IFERROR(
VLOOKUP(
TRIM(
IF(ISNUMBER(FIND(",",E361)),
LEFT(E361,FIND(",",E361)-1),
E361
)
),
master!A:B,
2,
FALSE
),
"Belum ada mapping"
)
</f>
        <v>Jawa Barat</v>
      </c>
      <c r="M361" s="6">
        <f>IFERROR(__xludf.DUMMYFUNCTION("IF(REGEXMATCH(I361,""Cari Kerja""),1,0)
"),1.0)</f>
        <v>1</v>
      </c>
      <c r="N361" s="6">
        <f>IFERROR(__xludf.DUMMYFUNCTION("IF(REGEXMATCH(I361,""Upskill""),1,0)
"),1.0)</f>
        <v>1</v>
      </c>
      <c r="O361" s="6">
        <f>IFERROR(__xludf.DUMMYFUNCTION("IF(REGEXMATCH(I361,""Networking""),1,0)
"),1.0)</f>
        <v>1</v>
      </c>
      <c r="P361" s="6">
        <f>IFERROR(__xludf.DUMMYFUNCTION("IF(REGEXMATCH(I361,""Switch Career""),1,0)
"),0.0)</f>
        <v>0</v>
      </c>
    </row>
    <row r="362" ht="22.5" customHeight="1">
      <c r="A362" s="3">
        <v>46046.56981666667</v>
      </c>
      <c r="B362" s="5" t="s">
        <v>1572</v>
      </c>
      <c r="C362" s="5" t="s">
        <v>1573</v>
      </c>
      <c r="D362" s="4" t="s">
        <v>1574</v>
      </c>
      <c r="E362" s="5" t="s">
        <v>174</v>
      </c>
      <c r="F362" s="5" t="s">
        <v>49</v>
      </c>
      <c r="G362" s="5" t="s">
        <v>1575</v>
      </c>
      <c r="H362" s="5" t="s">
        <v>245</v>
      </c>
      <c r="I362" s="5" t="s">
        <v>31</v>
      </c>
      <c r="J362" s="5" t="s">
        <v>24</v>
      </c>
      <c r="K362" s="6" t="str">
        <f t="shared" si="1"/>
        <v>0895809580707</v>
      </c>
      <c r="L362" s="6" t="str">
        <f>IFERROR(
VLOOKUP(
TRIM(
IF(ISNUMBER(FIND(",",E362)),
LEFT(E362,FIND(",",E362)-1),
E362
)
),
master!A:B,
2,
FALSE
),
"Belum ada mapping"
)
</f>
        <v>Jawa Timur</v>
      </c>
      <c r="M362" s="6">
        <f>IFERROR(__xludf.DUMMYFUNCTION("IF(REGEXMATCH(I362,""Cari Kerja""),1,0)
"),1.0)</f>
        <v>1</v>
      </c>
      <c r="N362" s="6">
        <f>IFERROR(__xludf.DUMMYFUNCTION("IF(REGEXMATCH(I362,""Upskill""),1,0)
"),1.0)</f>
        <v>1</v>
      </c>
      <c r="O362" s="6">
        <f>IFERROR(__xludf.DUMMYFUNCTION("IF(REGEXMATCH(I362,""Networking""),1,0)
"),1.0)</f>
        <v>1</v>
      </c>
      <c r="P362" s="6">
        <f>IFERROR(__xludf.DUMMYFUNCTION("IF(REGEXMATCH(I362,""Switch Career""),1,0)
"),1.0)</f>
        <v>1</v>
      </c>
    </row>
    <row r="363" ht="22.5" customHeight="1">
      <c r="A363" s="3">
        <v>46046.31812826389</v>
      </c>
      <c r="B363" s="5" t="s">
        <v>1576</v>
      </c>
      <c r="C363" s="5" t="s">
        <v>1577</v>
      </c>
      <c r="D363" s="4" t="s">
        <v>1578</v>
      </c>
      <c r="E363" s="5" t="s">
        <v>48</v>
      </c>
      <c r="F363" s="5" t="s">
        <v>49</v>
      </c>
      <c r="G363" s="5" t="s">
        <v>1579</v>
      </c>
      <c r="H363" s="5" t="s">
        <v>278</v>
      </c>
      <c r="I363" s="5" t="s">
        <v>23</v>
      </c>
      <c r="J363" s="5" t="s">
        <v>24</v>
      </c>
      <c r="K363" s="6" t="str">
        <f t="shared" si="1"/>
        <v>085156717868</v>
      </c>
      <c r="L363" s="6" t="str">
        <f>IFERROR(
VLOOKUP(
TRIM(
IF(ISNUMBER(FIND(",",E363)),
LEFT(E363,FIND(",",E363)-1),
E363
)
),
master!A:B,
2,
FALSE
),
"Belum ada mapping"
)
</f>
        <v>DI Yogyakarta</v>
      </c>
      <c r="M363" s="6">
        <f>IFERROR(__xludf.DUMMYFUNCTION("IF(REGEXMATCH(I363,""Cari Kerja""),1,0)
"),1.0)</f>
        <v>1</v>
      </c>
      <c r="N363" s="6">
        <f>IFERROR(__xludf.DUMMYFUNCTION("IF(REGEXMATCH(I363,""Upskill""),1,0)
"),1.0)</f>
        <v>1</v>
      </c>
      <c r="O363" s="6">
        <f>IFERROR(__xludf.DUMMYFUNCTION("IF(REGEXMATCH(I363,""Networking""),1,0)
"),1.0)</f>
        <v>1</v>
      </c>
      <c r="P363" s="6">
        <f>IFERROR(__xludf.DUMMYFUNCTION("IF(REGEXMATCH(I363,""Switch Career""),1,0)
"),0.0)</f>
        <v>0</v>
      </c>
    </row>
    <row r="364" ht="22.5" customHeight="1">
      <c r="A364" s="3">
        <v>46043.264483680556</v>
      </c>
      <c r="B364" s="5" t="s">
        <v>1580</v>
      </c>
      <c r="C364" s="5" t="s">
        <v>1581</v>
      </c>
      <c r="D364" s="4" t="s">
        <v>1582</v>
      </c>
      <c r="E364" s="5" t="s">
        <v>837</v>
      </c>
      <c r="F364" s="5" t="s">
        <v>49</v>
      </c>
      <c r="G364" s="5" t="s">
        <v>1583</v>
      </c>
      <c r="H364" s="5" t="s">
        <v>51</v>
      </c>
      <c r="I364" s="5" t="s">
        <v>31</v>
      </c>
      <c r="J364" s="5" t="s">
        <v>24</v>
      </c>
      <c r="K364" s="6" t="str">
        <f t="shared" si="1"/>
        <v>085156281876</v>
      </c>
      <c r="L364" s="6" t="str">
        <f>IFERROR(
VLOOKUP(
TRIM(
IF(ISNUMBER(FIND(",",E364)),
LEFT(E364,FIND(",",E364)-1),
E364
)
),
master!A:B,
2,
FALSE
),
"Belum ada mapping"
)
</f>
        <v>Jawa Barat</v>
      </c>
      <c r="M364" s="6">
        <f>IFERROR(__xludf.DUMMYFUNCTION("IF(REGEXMATCH(I364,""Cari Kerja""),1,0)
"),1.0)</f>
        <v>1</v>
      </c>
      <c r="N364" s="6">
        <f>IFERROR(__xludf.DUMMYFUNCTION("IF(REGEXMATCH(I364,""Upskill""),1,0)
"),1.0)</f>
        <v>1</v>
      </c>
      <c r="O364" s="6">
        <f>IFERROR(__xludf.DUMMYFUNCTION("IF(REGEXMATCH(I364,""Networking""),1,0)
"),1.0)</f>
        <v>1</v>
      </c>
      <c r="P364" s="6">
        <f>IFERROR(__xludf.DUMMYFUNCTION("IF(REGEXMATCH(I364,""Switch Career""),1,0)
"),1.0)</f>
        <v>1</v>
      </c>
    </row>
    <row r="365" ht="22.5" customHeight="1">
      <c r="A365" s="3">
        <v>46042.41504907407</v>
      </c>
      <c r="B365" s="5" t="s">
        <v>1584</v>
      </c>
      <c r="C365" s="5" t="s">
        <v>1585</v>
      </c>
      <c r="D365" s="4" t="s">
        <v>1586</v>
      </c>
      <c r="E365" s="5" t="s">
        <v>1587</v>
      </c>
      <c r="F365" s="5" t="s">
        <v>20</v>
      </c>
      <c r="G365" s="5" t="s">
        <v>69</v>
      </c>
      <c r="H365" s="5" t="s">
        <v>87</v>
      </c>
      <c r="I365" s="5" t="s">
        <v>23</v>
      </c>
      <c r="J365" s="5" t="s">
        <v>24</v>
      </c>
      <c r="K365" s="6" t="str">
        <f t="shared" si="1"/>
        <v>085836694588</v>
      </c>
      <c r="L365" s="6" t="str">
        <f>IFERROR(
VLOOKUP(
TRIM(
IF(ISNUMBER(FIND(",",E365)),
LEFT(E365,FIND(",",E365)-1),
E365
)
),
master!A:B,
2,
FALSE
),
"Belum ada mapping"
)
</f>
        <v>Sumatra Selatan</v>
      </c>
      <c r="M365" s="6">
        <f>IFERROR(__xludf.DUMMYFUNCTION("IF(REGEXMATCH(I365,""Cari Kerja""),1,0)
"),1.0)</f>
        <v>1</v>
      </c>
      <c r="N365" s="6">
        <f>IFERROR(__xludf.DUMMYFUNCTION("IF(REGEXMATCH(I365,""Upskill""),1,0)
"),1.0)</f>
        <v>1</v>
      </c>
      <c r="O365" s="6">
        <f>IFERROR(__xludf.DUMMYFUNCTION("IF(REGEXMATCH(I365,""Networking""),1,0)
"),1.0)</f>
        <v>1</v>
      </c>
      <c r="P365" s="6">
        <f>IFERROR(__xludf.DUMMYFUNCTION("IF(REGEXMATCH(I365,""Switch Career""),1,0)
"),0.0)</f>
        <v>0</v>
      </c>
    </row>
    <row r="366" ht="22.5" customHeight="1">
      <c r="A366" s="3">
        <v>46042.34987100694</v>
      </c>
      <c r="B366" s="5" t="s">
        <v>1588</v>
      </c>
      <c r="C366" s="5" t="s">
        <v>1589</v>
      </c>
      <c r="D366" s="4" t="s">
        <v>1590</v>
      </c>
      <c r="E366" s="5" t="s">
        <v>1591</v>
      </c>
      <c r="F366" s="5" t="s">
        <v>20</v>
      </c>
      <c r="G366" s="5" t="s">
        <v>149</v>
      </c>
      <c r="H366" s="5" t="s">
        <v>1592</v>
      </c>
      <c r="I366" s="5" t="s">
        <v>31</v>
      </c>
      <c r="J366" s="5" t="s">
        <v>24</v>
      </c>
      <c r="K366" s="6" t="str">
        <f t="shared" si="1"/>
        <v>085896149413</v>
      </c>
      <c r="L366" s="6" t="str">
        <f>IFERROR(
VLOOKUP(
TRIM(
IF(ISNUMBER(FIND(",",E366)),
LEFT(E366,FIND(",",E366)-1),
E366
)
),
master!A:B,
2,
FALSE
),
"Belum ada mapping"
)
</f>
        <v>Bengkulu</v>
      </c>
      <c r="M366" s="6">
        <f>IFERROR(__xludf.DUMMYFUNCTION("IF(REGEXMATCH(I366,""Cari Kerja""),1,0)
"),1.0)</f>
        <v>1</v>
      </c>
      <c r="N366" s="6">
        <f>IFERROR(__xludf.DUMMYFUNCTION("IF(REGEXMATCH(I366,""Upskill""),1,0)
"),1.0)</f>
        <v>1</v>
      </c>
      <c r="O366" s="6">
        <f>IFERROR(__xludf.DUMMYFUNCTION("IF(REGEXMATCH(I366,""Networking""),1,0)
"),1.0)</f>
        <v>1</v>
      </c>
      <c r="P366" s="6">
        <f>IFERROR(__xludf.DUMMYFUNCTION("IF(REGEXMATCH(I366,""Switch Career""),1,0)
"),1.0)</f>
        <v>1</v>
      </c>
    </row>
    <row r="367" ht="22.5" customHeight="1">
      <c r="A367" s="3">
        <v>46046.38907983796</v>
      </c>
      <c r="B367" s="5" t="s">
        <v>1593</v>
      </c>
      <c r="C367" s="5" t="s">
        <v>1594</v>
      </c>
      <c r="D367" s="4" t="s">
        <v>1595</v>
      </c>
      <c r="E367" s="5" t="s">
        <v>1596</v>
      </c>
      <c r="F367" s="5" t="s">
        <v>20</v>
      </c>
      <c r="G367" s="5" t="s">
        <v>21</v>
      </c>
      <c r="H367" s="5" t="s">
        <v>30</v>
      </c>
      <c r="I367" s="5" t="s">
        <v>23</v>
      </c>
      <c r="J367" s="5" t="s">
        <v>38</v>
      </c>
      <c r="K367" s="6" t="str">
        <f t="shared" si="1"/>
        <v>087821926028</v>
      </c>
      <c r="L367" s="6" t="str">
        <f>IFERROR(
VLOOKUP(
TRIM(
IF(ISNUMBER(FIND(",",E367)),
LEFT(E367,FIND(",",E367)-1),
E367
)
),
master!A:B,
2,
FALSE
),
"Belum ada mapping"
)
</f>
        <v>Nusa Tenggara Barat</v>
      </c>
      <c r="M367" s="6">
        <f>IFERROR(__xludf.DUMMYFUNCTION("IF(REGEXMATCH(I367,""Cari Kerja""),1,0)
"),1.0)</f>
        <v>1</v>
      </c>
      <c r="N367" s="6">
        <f>IFERROR(__xludf.DUMMYFUNCTION("IF(REGEXMATCH(I367,""Upskill""),1,0)
"),1.0)</f>
        <v>1</v>
      </c>
      <c r="O367" s="6">
        <f>IFERROR(__xludf.DUMMYFUNCTION("IF(REGEXMATCH(I367,""Networking""),1,0)
"),1.0)</f>
        <v>1</v>
      </c>
      <c r="P367" s="6">
        <f>IFERROR(__xludf.DUMMYFUNCTION("IF(REGEXMATCH(I367,""Switch Career""),1,0)
"),0.0)</f>
        <v>0</v>
      </c>
    </row>
    <row r="368" ht="22.5" customHeight="1">
      <c r="A368" s="7">
        <v>46040.34378606481</v>
      </c>
      <c r="B368" s="8" t="s">
        <v>1597</v>
      </c>
      <c r="C368" s="8" t="s">
        <v>1598</v>
      </c>
      <c r="D368" s="8" t="s">
        <v>1599</v>
      </c>
      <c r="E368" s="8" t="s">
        <v>1600</v>
      </c>
      <c r="F368" s="8" t="s">
        <v>49</v>
      </c>
      <c r="G368" s="8" t="s">
        <v>720</v>
      </c>
      <c r="H368" s="8" t="s">
        <v>1601</v>
      </c>
      <c r="I368" s="8" t="s">
        <v>13</v>
      </c>
      <c r="J368" s="8" t="s">
        <v>24</v>
      </c>
      <c r="K368" s="6" t="str">
        <f t="shared" si="1"/>
        <v>081348...</v>
      </c>
      <c r="L368" s="6" t="str">
        <f>IFERROR(
VLOOKUP(
TRIM(
IF(ISNUMBER(FIND(",",E368)),
LEFT(E368,FIND(",",E368)-1),
E368
)
),
master!A:B,
2,
FALSE
),
"Belum ada mapping"
)
</f>
        <v>Kalimantan Selatan</v>
      </c>
      <c r="M368" s="6">
        <f>IFERROR(__xludf.DUMMYFUNCTION("IF(REGEXMATCH(I368,""Cari Kerja""),1,0)
"),0.0)</f>
        <v>0</v>
      </c>
      <c r="N368" s="6">
        <f>IFERROR(__xludf.DUMMYFUNCTION("IF(REGEXMATCH(I368,""Upskill""),1,0)
"),1.0)</f>
        <v>1</v>
      </c>
      <c r="O368" s="6">
        <f>IFERROR(__xludf.DUMMYFUNCTION("IF(REGEXMATCH(I368,""Networking""),1,0)
"),0.0)</f>
        <v>0</v>
      </c>
      <c r="P368" s="6">
        <f>IFERROR(__xludf.DUMMYFUNCTION("IF(REGEXMATCH(I368,""Switch Career""),1,0)
"),0.0)</f>
        <v>0</v>
      </c>
    </row>
    <row r="369" ht="22.5" customHeight="1">
      <c r="A369" s="3">
        <v>46050.518043958335</v>
      </c>
      <c r="B369" s="5" t="s">
        <v>1602</v>
      </c>
      <c r="C369" s="5" t="s">
        <v>1603</v>
      </c>
      <c r="D369" s="4" t="s">
        <v>1604</v>
      </c>
      <c r="E369" s="5" t="s">
        <v>92</v>
      </c>
      <c r="F369" s="5" t="s">
        <v>20</v>
      </c>
      <c r="G369" s="5" t="s">
        <v>1605</v>
      </c>
      <c r="H369" s="5" t="s">
        <v>209</v>
      </c>
      <c r="I369" s="5" t="s">
        <v>52</v>
      </c>
      <c r="J369" s="5" t="s">
        <v>24</v>
      </c>
      <c r="K369" s="10" t="str">
        <f t="shared" si="1"/>
        <v>08982818631</v>
      </c>
      <c r="L369" s="10" t="str">
        <f>IFERROR(
VLOOKUP(
TRIM(
IF(ISNUMBER(FIND(",",E369)),
LEFT(E369,FIND(",",E369)-1),
E369
)
),
master!A:B,
2,
FALSE
),
"Belum ada mapping"
)
</f>
        <v>Jawa Barat</v>
      </c>
      <c r="M369" s="6">
        <f>IFERROR(__xludf.DUMMYFUNCTION("IF(REGEXMATCH(I369,""Cari Kerja""),1,0)
"),0.0)</f>
        <v>0</v>
      </c>
      <c r="N369" s="6">
        <f>IFERROR(__xludf.DUMMYFUNCTION("IF(REGEXMATCH(I369,""Upskill""),1,0)
"),1.0)</f>
        <v>1</v>
      </c>
      <c r="O369" s="6">
        <f>IFERROR(__xludf.DUMMYFUNCTION("IF(REGEXMATCH(I369,""Networking""),1,0)
"),1.0)</f>
        <v>1</v>
      </c>
      <c r="P369" s="6">
        <f>IFERROR(__xludf.DUMMYFUNCTION("IF(REGEXMATCH(I369,""Switch Career""),1,0)
"),1.0)</f>
        <v>1</v>
      </c>
    </row>
    <row r="370" ht="22.5" customHeight="1">
      <c r="A370" s="3">
        <v>46044.662967199074</v>
      </c>
      <c r="B370" s="5" t="s">
        <v>1606</v>
      </c>
      <c r="C370" s="5" t="s">
        <v>1607</v>
      </c>
      <c r="D370" s="4" t="s">
        <v>1608</v>
      </c>
      <c r="E370" s="5" t="s">
        <v>35</v>
      </c>
      <c r="F370" s="5" t="s">
        <v>49</v>
      </c>
      <c r="G370" s="5" t="s">
        <v>1609</v>
      </c>
      <c r="H370" s="5" t="s">
        <v>225</v>
      </c>
      <c r="I370" s="5" t="s">
        <v>31</v>
      </c>
      <c r="J370" s="5" t="s">
        <v>24</v>
      </c>
      <c r="K370" s="6" t="str">
        <f t="shared" si="1"/>
        <v>089505509013</v>
      </c>
      <c r="L370" s="6" t="str">
        <f>IFERROR(
VLOOKUP(
TRIM(
IF(ISNUMBER(FIND(",",E370)),
LEFT(E370,FIND(",",E370)-1),
E370
)
),
master!A:B,
2,
FALSE
),
"Belum ada mapping"
)
</f>
        <v>Jawa Timur</v>
      </c>
      <c r="M370" s="6">
        <f>IFERROR(__xludf.DUMMYFUNCTION("IF(REGEXMATCH(I370,""Cari Kerja""),1,0)
"),1.0)</f>
        <v>1</v>
      </c>
      <c r="N370" s="6">
        <f>IFERROR(__xludf.DUMMYFUNCTION("IF(REGEXMATCH(I370,""Upskill""),1,0)
"),1.0)</f>
        <v>1</v>
      </c>
      <c r="O370" s="6">
        <f>IFERROR(__xludf.DUMMYFUNCTION("IF(REGEXMATCH(I370,""Networking""),1,0)
"),1.0)</f>
        <v>1</v>
      </c>
      <c r="P370" s="6">
        <f>IFERROR(__xludf.DUMMYFUNCTION("IF(REGEXMATCH(I370,""Switch Career""),1,0)
"),1.0)</f>
        <v>1</v>
      </c>
    </row>
    <row r="371" ht="22.5" customHeight="1">
      <c r="A371" s="7">
        <v>46040.417199710646</v>
      </c>
      <c r="B371" s="8" t="s">
        <v>1610</v>
      </c>
      <c r="C371" s="8" t="s">
        <v>1611</v>
      </c>
      <c r="D371" s="9" t="s">
        <v>1612</v>
      </c>
      <c r="E371" s="8" t="s">
        <v>551</v>
      </c>
      <c r="F371" s="8" t="s">
        <v>20</v>
      </c>
      <c r="G371" s="8" t="s">
        <v>1613</v>
      </c>
      <c r="H371" s="8" t="s">
        <v>51</v>
      </c>
      <c r="I371" s="8" t="s">
        <v>15</v>
      </c>
      <c r="J371" s="8" t="s">
        <v>24</v>
      </c>
      <c r="K371" s="6" t="str">
        <f t="shared" si="1"/>
        <v>08988507153</v>
      </c>
      <c r="L371" s="6" t="str">
        <f>IFERROR(
VLOOKUP(
TRIM(
IF(ISNUMBER(FIND(",",E371)),
LEFT(E371,FIND(",",E371)-1),
E371
)
),
master!A:B,
2,
FALSE
),
"Belum ada mapping"
)
</f>
        <v>Jawa Barat</v>
      </c>
      <c r="M371" s="6">
        <f>IFERROR(__xludf.DUMMYFUNCTION("IF(REGEXMATCH(I371,""Cari Kerja""),1,0)
"),0.0)</f>
        <v>0</v>
      </c>
      <c r="N371" s="6">
        <f>IFERROR(__xludf.DUMMYFUNCTION("IF(REGEXMATCH(I371,""Upskill""),1,0)
"),0.0)</f>
        <v>0</v>
      </c>
      <c r="O371" s="6">
        <f>IFERROR(__xludf.DUMMYFUNCTION("IF(REGEXMATCH(I371,""Networking""),1,0)
"),0.0)</f>
        <v>0</v>
      </c>
      <c r="P371" s="6">
        <f>IFERROR(__xludf.DUMMYFUNCTION("IF(REGEXMATCH(I371,""Switch Career""),1,0)
"),1.0)</f>
        <v>1</v>
      </c>
    </row>
    <row r="372" ht="22.5" customHeight="1">
      <c r="A372" s="3">
        <v>46043.418480555556</v>
      </c>
      <c r="B372" s="5" t="s">
        <v>1614</v>
      </c>
      <c r="C372" s="5" t="s">
        <v>1615</v>
      </c>
      <c r="D372" s="4" t="s">
        <v>1616</v>
      </c>
      <c r="E372" s="5" t="s">
        <v>1617</v>
      </c>
      <c r="F372" s="5" t="s">
        <v>49</v>
      </c>
      <c r="G372" s="5" t="s">
        <v>1618</v>
      </c>
      <c r="H372" s="5" t="s">
        <v>1456</v>
      </c>
      <c r="I372" s="5" t="s">
        <v>59</v>
      </c>
      <c r="J372" s="5" t="s">
        <v>24</v>
      </c>
      <c r="K372" s="6" t="str">
        <f t="shared" si="1"/>
        <v>081997030300</v>
      </c>
      <c r="L372" s="6" t="str">
        <f>IFERROR(
VLOOKUP(
TRIM(
IF(ISNUMBER(FIND(",",E372)),
LEFT(E372,FIND(",",E372)-1),
E372
)
),
master!A:B,
2,
FALSE
),
"Belum ada mapping"
)
</f>
        <v>Jakarta</v>
      </c>
      <c r="M372" s="6">
        <f>IFERROR(__xludf.DUMMYFUNCTION("IF(REGEXMATCH(I372,""Cari Kerja""),1,0)
"),0.0)</f>
        <v>0</v>
      </c>
      <c r="N372" s="6">
        <f>IFERROR(__xludf.DUMMYFUNCTION("IF(REGEXMATCH(I372,""Upskill""),1,0)
"),1.0)</f>
        <v>1</v>
      </c>
      <c r="O372" s="6">
        <f>IFERROR(__xludf.DUMMYFUNCTION("IF(REGEXMATCH(I372,""Networking""),1,0)
"),1.0)</f>
        <v>1</v>
      </c>
      <c r="P372" s="6">
        <f>IFERROR(__xludf.DUMMYFUNCTION("IF(REGEXMATCH(I372,""Switch Career""),1,0)
"),0.0)</f>
        <v>0</v>
      </c>
    </row>
    <row r="373" ht="22.5" customHeight="1">
      <c r="A373" s="3">
        <v>46064.41016017361</v>
      </c>
      <c r="B373" s="5" t="s">
        <v>1619</v>
      </c>
      <c r="C373" s="5" t="s">
        <v>1620</v>
      </c>
      <c r="D373" s="5" t="s">
        <v>1621</v>
      </c>
      <c r="E373" s="5" t="s">
        <v>207</v>
      </c>
      <c r="F373" s="5" t="s">
        <v>49</v>
      </c>
      <c r="G373" s="5" t="s">
        <v>365</v>
      </c>
      <c r="H373" s="5" t="s">
        <v>69</v>
      </c>
      <c r="I373" s="5" t="s">
        <v>14</v>
      </c>
      <c r="J373" s="5" t="s">
        <v>24</v>
      </c>
      <c r="K373" s="10" t="str">
        <f t="shared" si="1"/>
        <v>+6281283518545</v>
      </c>
      <c r="L373" s="10" t="str">
        <f>IFERROR(
VLOOKUP(
TRIM(
IF(ISNUMBER(FIND(",",E373)),
LEFT(E373,FIND(",",E373)-1),
E373
)
),
master!A:B,
2,
FALSE
),
"Belum ada mapping"
)
</f>
        <v>Jakarta</v>
      </c>
      <c r="M373" s="10">
        <f>IFERROR(__xludf.DUMMYFUNCTION("IF(REGEXMATCH(I373,""Cari Kerja""),1,0)
"),0.0)</f>
        <v>0</v>
      </c>
      <c r="N373" s="10">
        <f>IFERROR(__xludf.DUMMYFUNCTION("IF(REGEXMATCH(I373,""Upskill""),1,0)
"),0.0)</f>
        <v>0</v>
      </c>
      <c r="O373" s="10">
        <f>IFERROR(__xludf.DUMMYFUNCTION("IF(REGEXMATCH(I373,""Networking""),1,0)
"),1.0)</f>
        <v>1</v>
      </c>
      <c r="P373" s="10">
        <f>IFERROR(__xludf.DUMMYFUNCTION("IF(REGEXMATCH(I373,""Switch Career""),1,0)
"),0.0)</f>
        <v>0</v>
      </c>
    </row>
    <row r="374" ht="22.5" customHeight="1">
      <c r="A374" s="3">
        <v>46046.68211326389</v>
      </c>
      <c r="B374" s="5" t="s">
        <v>1622</v>
      </c>
      <c r="C374" s="5" t="s">
        <v>1623</v>
      </c>
      <c r="D374" s="4" t="s">
        <v>1624</v>
      </c>
      <c r="E374" s="5" t="s">
        <v>1625</v>
      </c>
      <c r="F374" s="5" t="s">
        <v>20</v>
      </c>
      <c r="G374" s="5" t="s">
        <v>267</v>
      </c>
      <c r="H374" s="5" t="s">
        <v>439</v>
      </c>
      <c r="I374" s="5" t="s">
        <v>23</v>
      </c>
      <c r="J374" s="5" t="s">
        <v>24</v>
      </c>
      <c r="K374" s="6" t="str">
        <f t="shared" si="1"/>
        <v>082152287664</v>
      </c>
      <c r="L374" s="6" t="str">
        <f>IFERROR(
VLOOKUP(
TRIM(
IF(ISNUMBER(FIND(",",E374)),
LEFT(E374,FIND(",",E374)-1),
E374
)
),
master!A:B,
2,
FALSE
),
"Belum ada mapping"
)
</f>
        <v>Kalimantan Timur</v>
      </c>
      <c r="M374" s="6">
        <f>IFERROR(__xludf.DUMMYFUNCTION("IF(REGEXMATCH(I374,""Cari Kerja""),1,0)
"),1.0)</f>
        <v>1</v>
      </c>
      <c r="N374" s="6">
        <f>IFERROR(__xludf.DUMMYFUNCTION("IF(REGEXMATCH(I374,""Upskill""),1,0)
"),1.0)</f>
        <v>1</v>
      </c>
      <c r="O374" s="6">
        <f>IFERROR(__xludf.DUMMYFUNCTION("IF(REGEXMATCH(I374,""Networking""),1,0)
"),1.0)</f>
        <v>1</v>
      </c>
      <c r="P374" s="6">
        <f>IFERROR(__xludf.DUMMYFUNCTION("IF(REGEXMATCH(I374,""Switch Career""),1,0)
"),0.0)</f>
        <v>0</v>
      </c>
    </row>
    <row r="375" ht="22.5" customHeight="1">
      <c r="A375" s="3">
        <v>46049.50772178241</v>
      </c>
      <c r="B375" s="5" t="s">
        <v>1626</v>
      </c>
      <c r="C375" s="5" t="s">
        <v>1627</v>
      </c>
      <c r="D375" s="4" t="s">
        <v>1628</v>
      </c>
      <c r="E375" s="5" t="s">
        <v>1010</v>
      </c>
      <c r="F375" s="5" t="s">
        <v>20</v>
      </c>
      <c r="G375" s="5" t="s">
        <v>1629</v>
      </c>
      <c r="H375" s="5" t="s">
        <v>51</v>
      </c>
      <c r="I375" s="5" t="s">
        <v>23</v>
      </c>
      <c r="J375" s="5" t="s">
        <v>24</v>
      </c>
      <c r="K375" s="10" t="str">
        <f t="shared" si="1"/>
        <v>08811108604</v>
      </c>
      <c r="L375" s="10" t="str">
        <f>IFERROR(
VLOOKUP(
TRIM(
IF(ISNUMBER(FIND(",",E375)),
LEFT(E375,FIND(",",E375)-1),
E375
)
),
master!A:B,
2,
FALSE
),
"Belum ada mapping"
)
</f>
        <v>Jawa Barat</v>
      </c>
      <c r="M375" s="6">
        <f>IFERROR(__xludf.DUMMYFUNCTION("IF(REGEXMATCH(I375,""Cari Kerja""),1,0)
"),1.0)</f>
        <v>1</v>
      </c>
      <c r="N375" s="6">
        <f>IFERROR(__xludf.DUMMYFUNCTION("IF(REGEXMATCH(I375,""Upskill""),1,0)
"),1.0)</f>
        <v>1</v>
      </c>
      <c r="O375" s="6">
        <f>IFERROR(__xludf.DUMMYFUNCTION("IF(REGEXMATCH(I375,""Networking""),1,0)
"),1.0)</f>
        <v>1</v>
      </c>
      <c r="P375" s="6">
        <f>IFERROR(__xludf.DUMMYFUNCTION("IF(REGEXMATCH(I375,""Switch Career""),1,0)
"),0.0)</f>
        <v>0</v>
      </c>
    </row>
    <row r="376" ht="22.5" customHeight="1">
      <c r="A376" s="3">
        <v>46042.339037314814</v>
      </c>
      <c r="B376" s="5" t="s">
        <v>1630</v>
      </c>
      <c r="C376" s="5" t="s">
        <v>1631</v>
      </c>
      <c r="D376" s="4" t="s">
        <v>1632</v>
      </c>
      <c r="E376" s="5" t="s">
        <v>385</v>
      </c>
      <c r="F376" s="5" t="s">
        <v>49</v>
      </c>
      <c r="G376" s="5" t="s">
        <v>1633</v>
      </c>
      <c r="H376" s="5" t="s">
        <v>37</v>
      </c>
      <c r="I376" s="5" t="s">
        <v>59</v>
      </c>
      <c r="J376" s="5" t="s">
        <v>24</v>
      </c>
      <c r="K376" s="6" t="str">
        <f t="shared" si="1"/>
        <v>095246350678</v>
      </c>
      <c r="L376" s="6" t="str">
        <f>IFERROR(
VLOOKUP(
TRIM(
IF(ISNUMBER(FIND(",",E376)),
LEFT(E376,FIND(",",E376)-1),
E376
)
),
master!A:B,
2,
FALSE
),
"Belum ada mapping"
)
</f>
        <v>Kalimantan Timur</v>
      </c>
      <c r="M376" s="6">
        <f>IFERROR(__xludf.DUMMYFUNCTION("IF(REGEXMATCH(I376,""Cari Kerja""),1,0)
"),0.0)</f>
        <v>0</v>
      </c>
      <c r="N376" s="6">
        <f>IFERROR(__xludf.DUMMYFUNCTION("IF(REGEXMATCH(I376,""Upskill""),1,0)
"),1.0)</f>
        <v>1</v>
      </c>
      <c r="O376" s="6">
        <f>IFERROR(__xludf.DUMMYFUNCTION("IF(REGEXMATCH(I376,""Networking""),1,0)
"),1.0)</f>
        <v>1</v>
      </c>
      <c r="P376" s="6">
        <f>IFERROR(__xludf.DUMMYFUNCTION("IF(REGEXMATCH(I376,""Switch Career""),1,0)
"),0.0)</f>
        <v>0</v>
      </c>
    </row>
    <row r="377" ht="22.5" customHeight="1">
      <c r="A377" s="7">
        <v>46040.36008721065</v>
      </c>
      <c r="B377" s="8" t="s">
        <v>1634</v>
      </c>
      <c r="C377" s="8" t="s">
        <v>1635</v>
      </c>
      <c r="D377" s="9" t="s">
        <v>1636</v>
      </c>
      <c r="E377" s="8" t="s">
        <v>207</v>
      </c>
      <c r="F377" s="8" t="s">
        <v>20</v>
      </c>
      <c r="G377" s="8" t="s">
        <v>1637</v>
      </c>
      <c r="H377" s="8" t="s">
        <v>209</v>
      </c>
      <c r="I377" s="8" t="s">
        <v>52</v>
      </c>
      <c r="J377" s="8" t="s">
        <v>24</v>
      </c>
      <c r="K377" s="6" t="str">
        <f t="shared" si="1"/>
        <v>082145033436</v>
      </c>
      <c r="L377" s="6" t="str">
        <f>IFERROR(
VLOOKUP(
TRIM(
IF(ISNUMBER(FIND(",",E377)),
LEFT(E377,FIND(",",E377)-1),
E377
)
),
master!A:B,
2,
FALSE
),
"Belum ada mapping"
)
</f>
        <v>Jakarta</v>
      </c>
      <c r="M377" s="6">
        <f>IFERROR(__xludf.DUMMYFUNCTION("IF(REGEXMATCH(I377,""Cari Kerja""),1,0)
"),0.0)</f>
        <v>0</v>
      </c>
      <c r="N377" s="6">
        <f>IFERROR(__xludf.DUMMYFUNCTION("IF(REGEXMATCH(I377,""Upskill""),1,0)
"),1.0)</f>
        <v>1</v>
      </c>
      <c r="O377" s="6">
        <f>IFERROR(__xludf.DUMMYFUNCTION("IF(REGEXMATCH(I377,""Networking""),1,0)
"),1.0)</f>
        <v>1</v>
      </c>
      <c r="P377" s="6">
        <f>IFERROR(__xludf.DUMMYFUNCTION("IF(REGEXMATCH(I377,""Switch Career""),1,0)
"),1.0)</f>
        <v>1</v>
      </c>
    </row>
    <row r="378" ht="22.5" customHeight="1">
      <c r="A378" s="3">
        <v>46120.62924056713</v>
      </c>
      <c r="B378" s="5" t="s">
        <v>1638</v>
      </c>
      <c r="C378" s="5" t="s">
        <v>1639</v>
      </c>
      <c r="D378" s="4" t="s">
        <v>1640</v>
      </c>
      <c r="E378" s="5" t="s">
        <v>74</v>
      </c>
      <c r="F378" s="5" t="s">
        <v>49</v>
      </c>
      <c r="G378" s="5" t="s">
        <v>1641</v>
      </c>
      <c r="H378" s="5" t="s">
        <v>709</v>
      </c>
      <c r="I378" s="5" t="s">
        <v>23</v>
      </c>
      <c r="J378" s="5" t="s">
        <v>24</v>
      </c>
      <c r="K378" s="10" t="str">
        <f t="shared" si="1"/>
        <v>089509879668</v>
      </c>
      <c r="L378" s="10" t="str">
        <f>IFERROR(
VLOOKUP(
TRIM(
IF(ISNUMBER(FIND(",",E378)),
LEFT(E378,FIND(",",E378)-1),
E378
)
),
master!A:B,
2,
FALSE
),
"Belum ada mapping"
)
</f>
        <v>Banten</v>
      </c>
      <c r="M378" s="10">
        <f>IFERROR(__xludf.DUMMYFUNCTION("IF(REGEXMATCH(I378,""Cari Kerja""),1,0)
"),1.0)</f>
        <v>1</v>
      </c>
      <c r="N378" s="10">
        <f>IFERROR(__xludf.DUMMYFUNCTION("IF(REGEXMATCH(I378,""Upskill""),1,0)
"),1.0)</f>
        <v>1</v>
      </c>
      <c r="O378" s="10">
        <f>IFERROR(__xludf.DUMMYFUNCTION("IF(REGEXMATCH(I378,""Networking""),1,0)
"),1.0)</f>
        <v>1</v>
      </c>
      <c r="P378" s="10">
        <f>IFERROR(__xludf.DUMMYFUNCTION("IF(REGEXMATCH(I378,""Switch Career""),1,0)
"),0.0)</f>
        <v>0</v>
      </c>
    </row>
    <row r="379" ht="22.5" customHeight="1">
      <c r="A379" s="3">
        <v>46121.626355138884</v>
      </c>
      <c r="B379" s="5" t="s">
        <v>1638</v>
      </c>
      <c r="C379" s="5" t="s">
        <v>1639</v>
      </c>
      <c r="D379" s="4" t="s">
        <v>1640</v>
      </c>
      <c r="E379" s="5" t="s">
        <v>74</v>
      </c>
      <c r="F379" s="5" t="s">
        <v>49</v>
      </c>
      <c r="G379" s="5" t="s">
        <v>1642</v>
      </c>
      <c r="H379" s="5" t="s">
        <v>1643</v>
      </c>
      <c r="I379" s="5" t="s">
        <v>23</v>
      </c>
      <c r="J379" s="5" t="s">
        <v>24</v>
      </c>
      <c r="K379" s="10" t="str">
        <f t="shared" si="1"/>
        <v>089509879668</v>
      </c>
      <c r="L379" s="10" t="str">
        <f>IFERROR(
VLOOKUP(
TRIM(
IF(ISNUMBER(FIND(",",E379)),
LEFT(E379,FIND(",",E379)-1),
E379
)
),
master!A:B,
2,
FALSE
),
"Belum ada mapping"
)
</f>
        <v>Banten</v>
      </c>
      <c r="M379" s="10">
        <f>IFERROR(__xludf.DUMMYFUNCTION("IF(REGEXMATCH(I379,""Cari Kerja""),1,0)
"),1.0)</f>
        <v>1</v>
      </c>
      <c r="N379" s="10">
        <f>IFERROR(__xludf.DUMMYFUNCTION("IF(REGEXMATCH(I379,""Upskill""),1,0)
"),1.0)</f>
        <v>1</v>
      </c>
      <c r="O379" s="10">
        <f>IFERROR(__xludf.DUMMYFUNCTION("IF(REGEXMATCH(I379,""Networking""),1,0)
"),1.0)</f>
        <v>1</v>
      </c>
      <c r="P379" s="10">
        <f>IFERROR(__xludf.DUMMYFUNCTION("IF(REGEXMATCH(I379,""Switch Career""),1,0)
"),0.0)</f>
        <v>0</v>
      </c>
    </row>
    <row r="380" ht="22.5" customHeight="1">
      <c r="A380" s="3">
        <v>46042.84454445602</v>
      </c>
      <c r="B380" s="5" t="s">
        <v>1644</v>
      </c>
      <c r="C380" s="5" t="s">
        <v>1645</v>
      </c>
      <c r="D380" s="4" t="s">
        <v>1646</v>
      </c>
      <c r="E380" s="5" t="s">
        <v>1647</v>
      </c>
      <c r="F380" s="5" t="s">
        <v>20</v>
      </c>
      <c r="G380" s="5" t="s">
        <v>1648</v>
      </c>
      <c r="H380" s="5" t="s">
        <v>346</v>
      </c>
      <c r="I380" s="5" t="s">
        <v>23</v>
      </c>
      <c r="J380" s="5" t="s">
        <v>24</v>
      </c>
      <c r="K380" s="6" t="str">
        <f t="shared" si="1"/>
        <v>082133682484</v>
      </c>
      <c r="L380" s="6" t="str">
        <f>IFERROR(
VLOOKUP(
TRIM(
IF(ISNUMBER(FIND(",",E380)),
LEFT(E380,FIND(",",E380)-1),
E380
)
),
master!A:B,
2,
FALSE
),
"Belum ada mapping"
)
</f>
        <v>Jawa Tengah</v>
      </c>
      <c r="M380" s="6">
        <f>IFERROR(__xludf.DUMMYFUNCTION("IF(REGEXMATCH(I380,""Cari Kerja""),1,0)
"),1.0)</f>
        <v>1</v>
      </c>
      <c r="N380" s="6">
        <f>IFERROR(__xludf.DUMMYFUNCTION("IF(REGEXMATCH(I380,""Upskill""),1,0)
"),1.0)</f>
        <v>1</v>
      </c>
      <c r="O380" s="6">
        <f>IFERROR(__xludf.DUMMYFUNCTION("IF(REGEXMATCH(I380,""Networking""),1,0)
"),1.0)</f>
        <v>1</v>
      </c>
      <c r="P380" s="6">
        <f>IFERROR(__xludf.DUMMYFUNCTION("IF(REGEXMATCH(I380,""Switch Career""),1,0)
"),0.0)</f>
        <v>0</v>
      </c>
    </row>
    <row r="381" ht="22.5" customHeight="1">
      <c r="A381" s="3">
        <v>46045.47067847222</v>
      </c>
      <c r="B381" s="5" t="s">
        <v>1644</v>
      </c>
      <c r="C381" s="5" t="s">
        <v>1645</v>
      </c>
      <c r="D381" s="4" t="s">
        <v>1646</v>
      </c>
      <c r="E381" s="5" t="s">
        <v>1647</v>
      </c>
      <c r="F381" s="5" t="s">
        <v>20</v>
      </c>
      <c r="G381" s="5" t="s">
        <v>1648</v>
      </c>
      <c r="H381" s="5" t="s">
        <v>439</v>
      </c>
      <c r="I381" s="5" t="s">
        <v>130</v>
      </c>
      <c r="J381" s="5" t="s">
        <v>24</v>
      </c>
      <c r="K381" s="6" t="str">
        <f t="shared" si="1"/>
        <v>082133682484</v>
      </c>
      <c r="L381" s="6" t="str">
        <f>IFERROR(
VLOOKUP(
TRIM(
IF(ISNUMBER(FIND(",",E381)),
LEFT(E381,FIND(",",E381)-1),
E381
)
),
master!A:B,
2,
FALSE
),
"Belum ada mapping"
)
</f>
        <v>Jawa Tengah</v>
      </c>
      <c r="M381" s="6">
        <f>IFERROR(__xludf.DUMMYFUNCTION("IF(REGEXMATCH(I381,""Cari Kerja""),1,0)
"),1.0)</f>
        <v>1</v>
      </c>
      <c r="N381" s="6">
        <f>IFERROR(__xludf.DUMMYFUNCTION("IF(REGEXMATCH(I381,""Upskill""),1,0)
"),1.0)</f>
        <v>1</v>
      </c>
      <c r="O381" s="6">
        <f>IFERROR(__xludf.DUMMYFUNCTION("IF(REGEXMATCH(I381,""Networking""),1,0)
"),0.0)</f>
        <v>0</v>
      </c>
      <c r="P381" s="6">
        <f>IFERROR(__xludf.DUMMYFUNCTION("IF(REGEXMATCH(I381,""Switch Career""),1,0)
"),0.0)</f>
        <v>0</v>
      </c>
    </row>
    <row r="382" ht="22.5" customHeight="1">
      <c r="A382" s="7">
        <v>46040.35547296296</v>
      </c>
      <c r="B382" s="8" t="s">
        <v>1649</v>
      </c>
      <c r="C382" s="8" t="s">
        <v>1650</v>
      </c>
      <c r="D382" s="9" t="s">
        <v>1651</v>
      </c>
      <c r="E382" s="8" t="s">
        <v>1652</v>
      </c>
      <c r="F382" s="8" t="s">
        <v>49</v>
      </c>
      <c r="G382" s="8" t="s">
        <v>149</v>
      </c>
      <c r="H382" s="8" t="s">
        <v>203</v>
      </c>
      <c r="I382" s="8" t="s">
        <v>59</v>
      </c>
      <c r="J382" s="8" t="s">
        <v>24</v>
      </c>
      <c r="K382" s="6" t="str">
        <f t="shared" si="1"/>
        <v>085742194989</v>
      </c>
      <c r="L382" s="6" t="str">
        <f>IFERROR(
VLOOKUP(
TRIM(
IF(ISNUMBER(FIND(",",E382)),
LEFT(E382,FIND(",",E382)-1),
E382
)
),
master!A:B,
2,
FALSE
),
"Belum ada mapping"
)
</f>
        <v>DI Yogyakarta</v>
      </c>
      <c r="M382" s="6">
        <f>IFERROR(__xludf.DUMMYFUNCTION("IF(REGEXMATCH(I382,""Cari Kerja""),1,0)
"),0.0)</f>
        <v>0</v>
      </c>
      <c r="N382" s="6">
        <f>IFERROR(__xludf.DUMMYFUNCTION("IF(REGEXMATCH(I382,""Upskill""),1,0)
"),1.0)</f>
        <v>1</v>
      </c>
      <c r="O382" s="6">
        <f>IFERROR(__xludf.DUMMYFUNCTION("IF(REGEXMATCH(I382,""Networking""),1,0)
"),1.0)</f>
        <v>1</v>
      </c>
      <c r="P382" s="6">
        <f>IFERROR(__xludf.DUMMYFUNCTION("IF(REGEXMATCH(I382,""Switch Career""),1,0)
"),0.0)</f>
        <v>0</v>
      </c>
    </row>
    <row r="383" ht="22.5" customHeight="1">
      <c r="A383" s="3">
        <v>46045.51335429398</v>
      </c>
      <c r="B383" s="5" t="s">
        <v>1653</v>
      </c>
      <c r="C383" s="5" t="s">
        <v>1654</v>
      </c>
      <c r="D383" s="4" t="s">
        <v>1655</v>
      </c>
      <c r="E383" s="5" t="s">
        <v>1656</v>
      </c>
      <c r="F383" s="5" t="s">
        <v>49</v>
      </c>
      <c r="G383" s="5" t="s">
        <v>1657</v>
      </c>
      <c r="H383" s="5" t="s">
        <v>1658</v>
      </c>
      <c r="I383" s="5" t="s">
        <v>13</v>
      </c>
      <c r="J383" s="5" t="s">
        <v>24</v>
      </c>
      <c r="K383" s="6" t="str">
        <f t="shared" si="1"/>
        <v>085296080877</v>
      </c>
      <c r="L383" s="6" t="str">
        <f>IFERROR(
VLOOKUP(
TRIM(
IF(ISNUMBER(FIND(",",E383)),
LEFT(E383,FIND(",",E383)-1),
E383
)
),
master!A:B,
2,
FALSE
),
"Belum ada mapping"
)
</f>
        <v>Sumatera Barat</v>
      </c>
      <c r="M383" s="6">
        <f>IFERROR(__xludf.DUMMYFUNCTION("IF(REGEXMATCH(I383,""Cari Kerja""),1,0)
"),0.0)</f>
        <v>0</v>
      </c>
      <c r="N383" s="6">
        <f>IFERROR(__xludf.DUMMYFUNCTION("IF(REGEXMATCH(I383,""Upskill""),1,0)
"),1.0)</f>
        <v>1</v>
      </c>
      <c r="O383" s="6">
        <f>IFERROR(__xludf.DUMMYFUNCTION("IF(REGEXMATCH(I383,""Networking""),1,0)
"),0.0)</f>
        <v>0</v>
      </c>
      <c r="P383" s="6">
        <f>IFERROR(__xludf.DUMMYFUNCTION("IF(REGEXMATCH(I383,""Switch Career""),1,0)
"),0.0)</f>
        <v>0</v>
      </c>
    </row>
    <row r="384" ht="22.5" customHeight="1">
      <c r="A384" s="3">
        <v>46042.69425877315</v>
      </c>
      <c r="B384" s="5" t="s">
        <v>1659</v>
      </c>
      <c r="C384" s="5" t="s">
        <v>1660</v>
      </c>
      <c r="D384" s="4" t="s">
        <v>1661</v>
      </c>
      <c r="E384" s="5" t="s">
        <v>364</v>
      </c>
      <c r="F384" s="5" t="s">
        <v>49</v>
      </c>
      <c r="G384" s="5" t="s">
        <v>169</v>
      </c>
      <c r="H384" s="5" t="s">
        <v>340</v>
      </c>
      <c r="I384" s="5" t="s">
        <v>130</v>
      </c>
      <c r="J384" s="5" t="s">
        <v>24</v>
      </c>
      <c r="K384" s="6" t="str">
        <f t="shared" si="1"/>
        <v>0895336966802</v>
      </c>
      <c r="L384" s="6" t="str">
        <f>IFERROR(
VLOOKUP(
TRIM(
IF(ISNUMBER(FIND(",",E384)),
LEFT(E384,FIND(",",E384)-1),
E384
)
),
master!A:B,
2,
FALSE
),
"Belum ada mapping"
)
</f>
        <v>Jakarta</v>
      </c>
      <c r="M384" s="6">
        <f>IFERROR(__xludf.DUMMYFUNCTION("IF(REGEXMATCH(I384,""Cari Kerja""),1,0)
"),1.0)</f>
        <v>1</v>
      </c>
      <c r="N384" s="6">
        <f>IFERROR(__xludf.DUMMYFUNCTION("IF(REGEXMATCH(I384,""Upskill""),1,0)
"),1.0)</f>
        <v>1</v>
      </c>
      <c r="O384" s="6">
        <f>IFERROR(__xludf.DUMMYFUNCTION("IF(REGEXMATCH(I384,""Networking""),1,0)
"),0.0)</f>
        <v>0</v>
      </c>
      <c r="P384" s="6">
        <f>IFERROR(__xludf.DUMMYFUNCTION("IF(REGEXMATCH(I384,""Switch Career""),1,0)
"),0.0)</f>
        <v>0</v>
      </c>
    </row>
    <row r="385" ht="22.5" customHeight="1">
      <c r="A385" s="7">
        <v>46040.47718662037</v>
      </c>
      <c r="B385" s="8" t="s">
        <v>1662</v>
      </c>
      <c r="C385" s="8" t="s">
        <v>1663</v>
      </c>
      <c r="D385" s="9" t="s">
        <v>1664</v>
      </c>
      <c r="E385" s="8" t="s">
        <v>151</v>
      </c>
      <c r="F385" s="8" t="s">
        <v>20</v>
      </c>
      <c r="G385" s="8" t="s">
        <v>149</v>
      </c>
      <c r="H385" s="8" t="s">
        <v>136</v>
      </c>
      <c r="I385" s="8" t="s">
        <v>31</v>
      </c>
      <c r="J385" s="8" t="s">
        <v>24</v>
      </c>
      <c r="K385" s="6" t="str">
        <f t="shared" si="1"/>
        <v>082292495743</v>
      </c>
      <c r="L385" s="6" t="str">
        <f>IFERROR(
VLOOKUP(
TRIM(
IF(ISNUMBER(FIND(",",E385)),
LEFT(E385,FIND(",",E385)-1),
E385
)
),
master!A:B,
2,
FALSE
),
"Belum ada mapping"
)
</f>
        <v>Riau</v>
      </c>
      <c r="M385" s="6">
        <f>IFERROR(__xludf.DUMMYFUNCTION("IF(REGEXMATCH(I385,""Cari Kerja""),1,0)
"),1.0)</f>
        <v>1</v>
      </c>
      <c r="N385" s="6">
        <f>IFERROR(__xludf.DUMMYFUNCTION("IF(REGEXMATCH(I385,""Upskill""),1,0)
"),1.0)</f>
        <v>1</v>
      </c>
      <c r="O385" s="6">
        <f>IFERROR(__xludf.DUMMYFUNCTION("IF(REGEXMATCH(I385,""Networking""),1,0)
"),1.0)</f>
        <v>1</v>
      </c>
      <c r="P385" s="6">
        <f>IFERROR(__xludf.DUMMYFUNCTION("IF(REGEXMATCH(I385,""Switch Career""),1,0)
"),1.0)</f>
        <v>1</v>
      </c>
    </row>
    <row r="386" ht="22.5" customHeight="1">
      <c r="A386" s="3">
        <v>46046.657693437504</v>
      </c>
      <c r="B386" s="5" t="s">
        <v>1665</v>
      </c>
      <c r="C386" s="5" t="s">
        <v>1666</v>
      </c>
      <c r="D386" s="4" t="s">
        <v>1667</v>
      </c>
      <c r="E386" s="5" t="s">
        <v>97</v>
      </c>
      <c r="F386" s="5" t="s">
        <v>49</v>
      </c>
      <c r="G386" s="5" t="s">
        <v>945</v>
      </c>
      <c r="H386" s="5" t="s">
        <v>187</v>
      </c>
      <c r="I386" s="5" t="s">
        <v>13</v>
      </c>
      <c r="J386" s="5" t="s">
        <v>24</v>
      </c>
      <c r="K386" s="6" t="str">
        <f t="shared" si="1"/>
        <v>081396562020</v>
      </c>
      <c r="L386" s="6" t="str">
        <f>IFERROR(
VLOOKUP(
TRIM(
IF(ISNUMBER(FIND(",",E386)),
LEFT(E386,FIND(",",E386)-1),
E386
)
),
master!A:B,
2,
FALSE
),
"Belum ada mapping"
)
</f>
        <v>Jakarta</v>
      </c>
      <c r="M386" s="6">
        <f>IFERROR(__xludf.DUMMYFUNCTION("IF(REGEXMATCH(I386,""Cari Kerja""),1,0)
"),0.0)</f>
        <v>0</v>
      </c>
      <c r="N386" s="6">
        <f>IFERROR(__xludf.DUMMYFUNCTION("IF(REGEXMATCH(I386,""Upskill""),1,0)
"),1.0)</f>
        <v>1</v>
      </c>
      <c r="O386" s="6">
        <f>IFERROR(__xludf.DUMMYFUNCTION("IF(REGEXMATCH(I386,""Networking""),1,0)
"),0.0)</f>
        <v>0</v>
      </c>
      <c r="P386" s="6">
        <f>IFERROR(__xludf.DUMMYFUNCTION("IF(REGEXMATCH(I386,""Switch Career""),1,0)
"),0.0)</f>
        <v>0</v>
      </c>
    </row>
    <row r="387" ht="22.5" customHeight="1">
      <c r="A387" s="3">
        <v>46046.41198547454</v>
      </c>
      <c r="B387" s="5" t="s">
        <v>1668</v>
      </c>
      <c r="C387" s="5" t="s">
        <v>1669</v>
      </c>
      <c r="D387" s="4" t="s">
        <v>1670</v>
      </c>
      <c r="E387" s="5" t="s">
        <v>218</v>
      </c>
      <c r="F387" s="5" t="s">
        <v>20</v>
      </c>
      <c r="G387" s="5" t="s">
        <v>1671</v>
      </c>
      <c r="H387" s="5" t="s">
        <v>51</v>
      </c>
      <c r="I387" s="5" t="s">
        <v>23</v>
      </c>
      <c r="J387" s="5" t="s">
        <v>24</v>
      </c>
      <c r="K387" s="6" t="str">
        <f t="shared" si="1"/>
        <v>081383357554</v>
      </c>
      <c r="L387" s="6" t="str">
        <f>IFERROR(
VLOOKUP(
TRIM(
IF(ISNUMBER(FIND(",",E387)),
LEFT(E387,FIND(",",E387)-1),
E387
)
),
master!A:B,
2,
FALSE
),
"Belum ada mapping"
)
</f>
        <v>Banten</v>
      </c>
      <c r="M387" s="6">
        <f>IFERROR(__xludf.DUMMYFUNCTION("IF(REGEXMATCH(I387,""Cari Kerja""),1,0)
"),1.0)</f>
        <v>1</v>
      </c>
      <c r="N387" s="6">
        <f>IFERROR(__xludf.DUMMYFUNCTION("IF(REGEXMATCH(I387,""Upskill""),1,0)
"),1.0)</f>
        <v>1</v>
      </c>
      <c r="O387" s="6">
        <f>IFERROR(__xludf.DUMMYFUNCTION("IF(REGEXMATCH(I387,""Networking""),1,0)
"),1.0)</f>
        <v>1</v>
      </c>
      <c r="P387" s="6">
        <f>IFERROR(__xludf.DUMMYFUNCTION("IF(REGEXMATCH(I387,""Switch Career""),1,0)
"),0.0)</f>
        <v>0</v>
      </c>
    </row>
    <row r="388" ht="22.5" customHeight="1">
      <c r="A388" s="3">
        <v>46042.669357997685</v>
      </c>
      <c r="B388" s="5" t="s">
        <v>1672</v>
      </c>
      <c r="C388" s="5" t="s">
        <v>1673</v>
      </c>
      <c r="D388" s="4" t="s">
        <v>1674</v>
      </c>
      <c r="E388" s="5" t="s">
        <v>1675</v>
      </c>
      <c r="F388" s="5" t="s">
        <v>20</v>
      </c>
      <c r="G388" s="5" t="s">
        <v>69</v>
      </c>
      <c r="H388" s="5" t="s">
        <v>209</v>
      </c>
      <c r="I388" s="5" t="s">
        <v>23</v>
      </c>
      <c r="J388" s="5" t="s">
        <v>24</v>
      </c>
      <c r="K388" s="6" t="str">
        <f t="shared" si="1"/>
        <v>085262805371</v>
      </c>
      <c r="L388" s="6" t="str">
        <f>IFERROR(
VLOOKUP(
TRIM(
IF(ISNUMBER(FIND(",",E388)),
LEFT(E388,FIND(",",E388)-1),
E388
)
),
master!A:B,
2,
FALSE
),
"Belum ada mapping"
)
</f>
        <v>Aceh</v>
      </c>
      <c r="M388" s="6">
        <f>IFERROR(__xludf.DUMMYFUNCTION("IF(REGEXMATCH(I388,""Cari Kerja""),1,0)
"),1.0)</f>
        <v>1</v>
      </c>
      <c r="N388" s="6">
        <f>IFERROR(__xludf.DUMMYFUNCTION("IF(REGEXMATCH(I388,""Upskill""),1,0)
"),1.0)</f>
        <v>1</v>
      </c>
      <c r="O388" s="6">
        <f>IFERROR(__xludf.DUMMYFUNCTION("IF(REGEXMATCH(I388,""Networking""),1,0)
"),1.0)</f>
        <v>1</v>
      </c>
      <c r="P388" s="6">
        <f>IFERROR(__xludf.DUMMYFUNCTION("IF(REGEXMATCH(I388,""Switch Career""),1,0)
"),0.0)</f>
        <v>0</v>
      </c>
    </row>
    <row r="389" ht="22.5" customHeight="1">
      <c r="A389" s="7">
        <v>46040.35414461806</v>
      </c>
      <c r="B389" s="8" t="s">
        <v>1676</v>
      </c>
      <c r="C389" s="8" t="s">
        <v>1677</v>
      </c>
      <c r="D389" s="9" t="s">
        <v>1678</v>
      </c>
      <c r="E389" s="8" t="s">
        <v>1600</v>
      </c>
      <c r="F389" s="8" t="s">
        <v>49</v>
      </c>
      <c r="G389" s="8" t="s">
        <v>1679</v>
      </c>
      <c r="H389" s="8" t="s">
        <v>1680</v>
      </c>
      <c r="I389" s="8" t="s">
        <v>59</v>
      </c>
      <c r="J389" s="8" t="s">
        <v>24</v>
      </c>
      <c r="K389" s="6" t="str">
        <f t="shared" si="1"/>
        <v>085248764714</v>
      </c>
      <c r="L389" s="6" t="str">
        <f>IFERROR(
VLOOKUP(
TRIM(
IF(ISNUMBER(FIND(",",E389)),
LEFT(E389,FIND(",",E389)-1),
E389
)
),
master!A:B,
2,
FALSE
),
"Belum ada mapping"
)
</f>
        <v>Kalimantan Selatan</v>
      </c>
      <c r="M389" s="6">
        <f>IFERROR(__xludf.DUMMYFUNCTION("IF(REGEXMATCH(I389,""Cari Kerja""),1,0)
"),0.0)</f>
        <v>0</v>
      </c>
      <c r="N389" s="6">
        <f>IFERROR(__xludf.DUMMYFUNCTION("IF(REGEXMATCH(I389,""Upskill""),1,0)
"),1.0)</f>
        <v>1</v>
      </c>
      <c r="O389" s="6">
        <f>IFERROR(__xludf.DUMMYFUNCTION("IF(REGEXMATCH(I389,""Networking""),1,0)
"),1.0)</f>
        <v>1</v>
      </c>
      <c r="P389" s="6">
        <f>IFERROR(__xludf.DUMMYFUNCTION("IF(REGEXMATCH(I389,""Switch Career""),1,0)
"),0.0)</f>
        <v>0</v>
      </c>
    </row>
    <row r="390" ht="22.5" customHeight="1">
      <c r="A390" s="7">
        <v>46040.357133495374</v>
      </c>
      <c r="B390" s="8" t="s">
        <v>1681</v>
      </c>
      <c r="C390" s="8" t="s">
        <v>1682</v>
      </c>
      <c r="D390" s="9" t="s">
        <v>1683</v>
      </c>
      <c r="E390" s="8" t="s">
        <v>35</v>
      </c>
      <c r="F390" s="8" t="s">
        <v>20</v>
      </c>
      <c r="G390" s="8" t="s">
        <v>21</v>
      </c>
      <c r="H390" s="8" t="s">
        <v>51</v>
      </c>
      <c r="I390" s="8" t="s">
        <v>31</v>
      </c>
      <c r="J390" s="8" t="s">
        <v>24</v>
      </c>
      <c r="K390" s="6" t="str">
        <f t="shared" si="1"/>
        <v>087763127708</v>
      </c>
      <c r="L390" s="6" t="str">
        <f>IFERROR(
VLOOKUP(
TRIM(
IF(ISNUMBER(FIND(",",E390)),
LEFT(E390,FIND(",",E390)-1),
E390
)
),
master!A:B,
2,
FALSE
),
"Belum ada mapping"
)
</f>
        <v>Jawa Timur</v>
      </c>
      <c r="M390" s="6">
        <f>IFERROR(__xludf.DUMMYFUNCTION("IF(REGEXMATCH(I390,""Cari Kerja""),1,0)
"),1.0)</f>
        <v>1</v>
      </c>
      <c r="N390" s="6">
        <f>IFERROR(__xludf.DUMMYFUNCTION("IF(REGEXMATCH(I390,""Upskill""),1,0)
"),1.0)</f>
        <v>1</v>
      </c>
      <c r="O390" s="6">
        <f>IFERROR(__xludf.DUMMYFUNCTION("IF(REGEXMATCH(I390,""Networking""),1,0)
"),1.0)</f>
        <v>1</v>
      </c>
      <c r="P390" s="6">
        <f>IFERROR(__xludf.DUMMYFUNCTION("IF(REGEXMATCH(I390,""Switch Career""),1,0)
"),1.0)</f>
        <v>1</v>
      </c>
    </row>
    <row r="391" ht="22.5" customHeight="1">
      <c r="A391" s="7">
        <v>46040.36379604167</v>
      </c>
      <c r="B391" s="8" t="s">
        <v>1684</v>
      </c>
      <c r="C391" s="8" t="s">
        <v>1685</v>
      </c>
      <c r="D391" s="9" t="s">
        <v>1686</v>
      </c>
      <c r="E391" s="8" t="s">
        <v>1536</v>
      </c>
      <c r="F391" s="8" t="s">
        <v>49</v>
      </c>
      <c r="G391" s="8" t="s">
        <v>1687</v>
      </c>
      <c r="H391" s="8" t="s">
        <v>51</v>
      </c>
      <c r="I391" s="8" t="s">
        <v>52</v>
      </c>
      <c r="J391" s="8" t="s">
        <v>24</v>
      </c>
      <c r="K391" s="6" t="str">
        <f t="shared" si="1"/>
        <v>081234829747</v>
      </c>
      <c r="L391" s="6" t="str">
        <f>IFERROR(
VLOOKUP(
TRIM(
IF(ISNUMBER(FIND(",",E391)),
LEFT(E391,FIND(",",E391)-1),
E391
)
),
master!A:B,
2,
FALSE
),
"Belum ada mapping"
)
</f>
        <v>Jawa Timur</v>
      </c>
      <c r="M391" s="6">
        <f>IFERROR(__xludf.DUMMYFUNCTION("IF(REGEXMATCH(I391,""Cari Kerja""),1,0)
"),0.0)</f>
        <v>0</v>
      </c>
      <c r="N391" s="6">
        <f>IFERROR(__xludf.DUMMYFUNCTION("IF(REGEXMATCH(I391,""Upskill""),1,0)
"),1.0)</f>
        <v>1</v>
      </c>
      <c r="O391" s="6">
        <f>IFERROR(__xludf.DUMMYFUNCTION("IF(REGEXMATCH(I391,""Networking""),1,0)
"),1.0)</f>
        <v>1</v>
      </c>
      <c r="P391" s="6">
        <f>IFERROR(__xludf.DUMMYFUNCTION("IF(REGEXMATCH(I391,""Switch Career""),1,0)
"),1.0)</f>
        <v>1</v>
      </c>
    </row>
    <row r="392" ht="22.5" customHeight="1">
      <c r="A392" s="3">
        <v>46041.96219519676</v>
      </c>
      <c r="B392" s="5" t="s">
        <v>1688</v>
      </c>
      <c r="C392" s="5" t="s">
        <v>1689</v>
      </c>
      <c r="D392" s="4" t="s">
        <v>1690</v>
      </c>
      <c r="E392" s="5" t="s">
        <v>364</v>
      </c>
      <c r="F392" s="5" t="s">
        <v>49</v>
      </c>
      <c r="G392" s="5" t="s">
        <v>1691</v>
      </c>
      <c r="H392" s="5" t="s">
        <v>51</v>
      </c>
      <c r="I392" s="5" t="s">
        <v>23</v>
      </c>
      <c r="J392" s="5" t="s">
        <v>24</v>
      </c>
      <c r="K392" s="6" t="str">
        <f t="shared" si="1"/>
        <v>082244752481</v>
      </c>
      <c r="L392" s="6" t="str">
        <f>IFERROR(
VLOOKUP(
TRIM(
IF(ISNUMBER(FIND(",",E392)),
LEFT(E392,FIND(",",E392)-1),
E392
)
),
master!A:B,
2,
FALSE
),
"Belum ada mapping"
)
</f>
        <v>Jakarta</v>
      </c>
      <c r="M392" s="6">
        <f>IFERROR(__xludf.DUMMYFUNCTION("IF(REGEXMATCH(I392,""Cari Kerja""),1,0)
"),1.0)</f>
        <v>1</v>
      </c>
      <c r="N392" s="6">
        <f>IFERROR(__xludf.DUMMYFUNCTION("IF(REGEXMATCH(I392,""Upskill""),1,0)
"),1.0)</f>
        <v>1</v>
      </c>
      <c r="O392" s="6">
        <f>IFERROR(__xludf.DUMMYFUNCTION("IF(REGEXMATCH(I392,""Networking""),1,0)
"),1.0)</f>
        <v>1</v>
      </c>
      <c r="P392" s="6">
        <f>IFERROR(__xludf.DUMMYFUNCTION("IF(REGEXMATCH(I392,""Switch Career""),1,0)
"),0.0)</f>
        <v>0</v>
      </c>
    </row>
    <row r="393" ht="22.5" customHeight="1">
      <c r="A393" s="3">
        <v>46064.407487476856</v>
      </c>
      <c r="B393" s="5" t="s">
        <v>1688</v>
      </c>
      <c r="C393" s="5" t="s">
        <v>1689</v>
      </c>
      <c r="D393" s="4" t="s">
        <v>1690</v>
      </c>
      <c r="E393" s="5" t="s">
        <v>364</v>
      </c>
      <c r="F393" s="5" t="s">
        <v>49</v>
      </c>
      <c r="G393" s="5" t="s">
        <v>1692</v>
      </c>
      <c r="H393" s="5" t="s">
        <v>370</v>
      </c>
      <c r="I393" s="5" t="s">
        <v>23</v>
      </c>
      <c r="J393" s="5" t="s">
        <v>24</v>
      </c>
      <c r="K393" s="10" t="str">
        <f t="shared" si="1"/>
        <v>082244752481</v>
      </c>
      <c r="L393" s="10" t="str">
        <f>IFERROR(
VLOOKUP(
TRIM(
IF(ISNUMBER(FIND(",",E393)),
LEFT(E393,FIND(",",E393)-1),
E393
)
),
master!A:B,
2,
FALSE
),
"Belum ada mapping"
)
</f>
        <v>Jakarta</v>
      </c>
      <c r="M393" s="10">
        <f>IFERROR(__xludf.DUMMYFUNCTION("IF(REGEXMATCH(I393,""Cari Kerja""),1,0)
"),1.0)</f>
        <v>1</v>
      </c>
      <c r="N393" s="10">
        <f>IFERROR(__xludf.DUMMYFUNCTION("IF(REGEXMATCH(I393,""Upskill""),1,0)
"),1.0)</f>
        <v>1</v>
      </c>
      <c r="O393" s="10">
        <f>IFERROR(__xludf.DUMMYFUNCTION("IF(REGEXMATCH(I393,""Networking""),1,0)
"),1.0)</f>
        <v>1</v>
      </c>
      <c r="P393" s="10">
        <f>IFERROR(__xludf.DUMMYFUNCTION("IF(REGEXMATCH(I393,""Switch Career""),1,0)
"),0.0)</f>
        <v>0</v>
      </c>
    </row>
    <row r="394" ht="22.5" customHeight="1">
      <c r="A394" s="3">
        <v>46098.63348798611</v>
      </c>
      <c r="B394" s="5" t="s">
        <v>1693</v>
      </c>
      <c r="C394" s="5" t="s">
        <v>1694</v>
      </c>
      <c r="D394" s="4" t="s">
        <v>1695</v>
      </c>
      <c r="E394" s="5" t="s">
        <v>551</v>
      </c>
      <c r="F394" s="5" t="s">
        <v>20</v>
      </c>
      <c r="G394" s="5" t="s">
        <v>656</v>
      </c>
      <c r="H394" s="5" t="s">
        <v>51</v>
      </c>
      <c r="I394" s="5" t="s">
        <v>23</v>
      </c>
      <c r="J394" s="5" t="s">
        <v>38</v>
      </c>
      <c r="K394" s="10" t="str">
        <f t="shared" si="1"/>
        <v>088271254635</v>
      </c>
      <c r="L394" s="10" t="str">
        <f>IFERROR(
VLOOKUP(
TRIM(
IF(ISNUMBER(FIND(",",E394)),
LEFT(E394,FIND(",",E394)-1),
E394
)
),
master!A:B,
2,
FALSE
),
"Belum ada mapping"
)
</f>
        <v>Jawa Barat</v>
      </c>
      <c r="M394" s="10">
        <f>IFERROR(__xludf.DUMMYFUNCTION("IF(REGEXMATCH(I394,""Cari Kerja""),1,0)
"),1.0)</f>
        <v>1</v>
      </c>
      <c r="N394" s="10">
        <f>IFERROR(__xludf.DUMMYFUNCTION("IF(REGEXMATCH(I394,""Upskill""),1,0)
"),1.0)</f>
        <v>1</v>
      </c>
      <c r="O394" s="10">
        <f>IFERROR(__xludf.DUMMYFUNCTION("IF(REGEXMATCH(I394,""Networking""),1,0)
"),1.0)</f>
        <v>1</v>
      </c>
      <c r="P394" s="10">
        <f>IFERROR(__xludf.DUMMYFUNCTION("IF(REGEXMATCH(I394,""Switch Career""),1,0)
"),0.0)</f>
        <v>0</v>
      </c>
    </row>
    <row r="395" ht="22.5" customHeight="1">
      <c r="A395" s="3">
        <v>46100.29969652778</v>
      </c>
      <c r="B395" s="5" t="s">
        <v>1693</v>
      </c>
      <c r="C395" s="5" t="s">
        <v>1694</v>
      </c>
      <c r="D395" s="5" t="s">
        <v>1696</v>
      </c>
      <c r="E395" s="5" t="s">
        <v>551</v>
      </c>
      <c r="F395" s="5" t="s">
        <v>20</v>
      </c>
      <c r="G395" s="5" t="s">
        <v>656</v>
      </c>
      <c r="H395" s="5" t="s">
        <v>1697</v>
      </c>
      <c r="I395" s="5" t="s">
        <v>23</v>
      </c>
      <c r="J395" s="5" t="s">
        <v>38</v>
      </c>
      <c r="K395" s="10" t="str">
        <f t="shared" si="1"/>
        <v>0882 7125 4635</v>
      </c>
      <c r="L395" s="10" t="str">
        <f>IFERROR(
VLOOKUP(
TRIM(
IF(ISNUMBER(FIND(",",E395)),
LEFT(E395,FIND(",",E395)-1),
E395
)
),
master!A:B,
2,
FALSE
),
"Belum ada mapping"
)
</f>
        <v>Jawa Barat</v>
      </c>
      <c r="M395" s="10">
        <f>IFERROR(__xludf.DUMMYFUNCTION("IF(REGEXMATCH(I395,""Cari Kerja""),1,0)
"),1.0)</f>
        <v>1</v>
      </c>
      <c r="N395" s="10">
        <f>IFERROR(__xludf.DUMMYFUNCTION("IF(REGEXMATCH(I395,""Upskill""),1,0)
"),1.0)</f>
        <v>1</v>
      </c>
      <c r="O395" s="10">
        <f>IFERROR(__xludf.DUMMYFUNCTION("IF(REGEXMATCH(I395,""Networking""),1,0)
"),1.0)</f>
        <v>1</v>
      </c>
      <c r="P395" s="10">
        <f>IFERROR(__xludf.DUMMYFUNCTION("IF(REGEXMATCH(I395,""Switch Career""),1,0)
"),0.0)</f>
        <v>0</v>
      </c>
    </row>
    <row r="396" ht="22.5" customHeight="1">
      <c r="A396" s="3">
        <v>46051.41848841435</v>
      </c>
      <c r="B396" s="5" t="s">
        <v>1698</v>
      </c>
      <c r="C396" s="5" t="s">
        <v>1699</v>
      </c>
      <c r="D396" s="5" t="s">
        <v>1700</v>
      </c>
      <c r="E396" s="5" t="s">
        <v>1701</v>
      </c>
      <c r="F396" s="5" t="s">
        <v>20</v>
      </c>
      <c r="G396" s="5" t="s">
        <v>1702</v>
      </c>
      <c r="H396" s="5" t="s">
        <v>51</v>
      </c>
      <c r="I396" s="5" t="s">
        <v>31</v>
      </c>
      <c r="J396" s="5" t="s">
        <v>24</v>
      </c>
      <c r="K396" s="10" t="str">
        <f t="shared" si="1"/>
        <v>‪0882003241197‬</v>
      </c>
      <c r="L396" s="10" t="str">
        <f>IFERROR(
VLOOKUP(
TRIM(
IF(ISNUMBER(FIND(",",E396)),
LEFT(E396,FIND(",",E396)-1),
E396
)
),
master!A:B,
2,
FALSE
),
"Belum ada mapping"
)
</f>
        <v>Jawa Tengah</v>
      </c>
      <c r="M396" s="6">
        <f>IFERROR(__xludf.DUMMYFUNCTION("IF(REGEXMATCH(I396,""Cari Kerja""),1,0)
"),1.0)</f>
        <v>1</v>
      </c>
      <c r="N396" s="6">
        <f>IFERROR(__xludf.DUMMYFUNCTION("IF(REGEXMATCH(I396,""Upskill""),1,0)
"),1.0)</f>
        <v>1</v>
      </c>
      <c r="O396" s="6">
        <f>IFERROR(__xludf.DUMMYFUNCTION("IF(REGEXMATCH(I396,""Networking""),1,0)
"),1.0)</f>
        <v>1</v>
      </c>
      <c r="P396" s="6">
        <f>IFERROR(__xludf.DUMMYFUNCTION("IF(REGEXMATCH(I396,""Switch Career""),1,0)
"),1.0)</f>
        <v>1</v>
      </c>
    </row>
    <row r="397" ht="22.5" customHeight="1">
      <c r="A397" s="3">
        <v>46120.84394046296</v>
      </c>
      <c r="B397" s="5" t="s">
        <v>1703</v>
      </c>
      <c r="C397" s="5" t="s">
        <v>1704</v>
      </c>
      <c r="D397" s="4" t="s">
        <v>1705</v>
      </c>
      <c r="E397" s="5" t="s">
        <v>92</v>
      </c>
      <c r="F397" s="5" t="s">
        <v>49</v>
      </c>
      <c r="G397" s="5" t="s">
        <v>1706</v>
      </c>
      <c r="H397" s="5" t="s">
        <v>278</v>
      </c>
      <c r="I397" s="5" t="s">
        <v>23</v>
      </c>
      <c r="J397" s="5" t="s">
        <v>24</v>
      </c>
      <c r="K397" s="10" t="str">
        <f t="shared" si="1"/>
        <v>081280407242</v>
      </c>
      <c r="L397" s="10" t="str">
        <f>IFERROR(
VLOOKUP(
TRIM(
IF(ISNUMBER(FIND(",",E397)),
LEFT(E397,FIND(",",E397)-1),
E397
)
),
master!A:B,
2,
FALSE
),
"Belum ada mapping"
)
</f>
        <v>Jawa Barat</v>
      </c>
      <c r="M397" s="10">
        <f>IFERROR(__xludf.DUMMYFUNCTION("IF(REGEXMATCH(I397,""Cari Kerja""),1,0)
"),1.0)</f>
        <v>1</v>
      </c>
      <c r="N397" s="10">
        <f>IFERROR(__xludf.DUMMYFUNCTION("IF(REGEXMATCH(I397,""Upskill""),1,0)
"),1.0)</f>
        <v>1</v>
      </c>
      <c r="O397" s="10">
        <f>IFERROR(__xludf.DUMMYFUNCTION("IF(REGEXMATCH(I397,""Networking""),1,0)
"),1.0)</f>
        <v>1</v>
      </c>
      <c r="P397" s="10">
        <f>IFERROR(__xludf.DUMMYFUNCTION("IF(REGEXMATCH(I397,""Switch Career""),1,0)
"),0.0)</f>
        <v>0</v>
      </c>
    </row>
    <row r="398" ht="22.5" customHeight="1">
      <c r="A398" s="7">
        <v>46041.39835427083</v>
      </c>
      <c r="B398" s="8" t="s">
        <v>1707</v>
      </c>
      <c r="C398" s="8" t="s">
        <v>1708</v>
      </c>
      <c r="D398" s="9" t="s">
        <v>1709</v>
      </c>
      <c r="E398" s="8" t="s">
        <v>1710</v>
      </c>
      <c r="F398" s="8" t="s">
        <v>20</v>
      </c>
      <c r="G398" s="8" t="s">
        <v>1711</v>
      </c>
      <c r="H398" s="8" t="s">
        <v>1712</v>
      </c>
      <c r="I398" s="8" t="s">
        <v>59</v>
      </c>
      <c r="J398" s="8" t="s">
        <v>24</v>
      </c>
      <c r="K398" s="6" t="str">
        <f t="shared" si="1"/>
        <v>083838202066</v>
      </c>
      <c r="L398" s="6" t="str">
        <f>IFERROR(
VLOOKUP(
TRIM(
IF(ISNUMBER(FIND(",",E398)),
LEFT(E398,FIND(",",E398)-1),
E398
)
),
master!A:B,
2,
FALSE
),
"Belum ada mapping"
)
</f>
        <v>DI Yogyakarta</v>
      </c>
      <c r="M398" s="6">
        <f>IFERROR(__xludf.DUMMYFUNCTION("IF(REGEXMATCH(I398,""Cari Kerja""),1,0)
"),0.0)</f>
        <v>0</v>
      </c>
      <c r="N398" s="6">
        <f>IFERROR(__xludf.DUMMYFUNCTION("IF(REGEXMATCH(I398,""Upskill""),1,0)
"),1.0)</f>
        <v>1</v>
      </c>
      <c r="O398" s="6">
        <f>IFERROR(__xludf.DUMMYFUNCTION("IF(REGEXMATCH(I398,""Networking""),1,0)
"),1.0)</f>
        <v>1</v>
      </c>
      <c r="P398" s="6">
        <f>IFERROR(__xludf.DUMMYFUNCTION("IF(REGEXMATCH(I398,""Switch Career""),1,0)
"),0.0)</f>
        <v>0</v>
      </c>
    </row>
    <row r="399" ht="22.5" customHeight="1">
      <c r="A399" s="3">
        <v>46042.31453962963</v>
      </c>
      <c r="B399" s="5" t="s">
        <v>1713</v>
      </c>
      <c r="C399" s="5" t="s">
        <v>1714</v>
      </c>
      <c r="D399" s="4" t="s">
        <v>1715</v>
      </c>
      <c r="E399" s="5" t="s">
        <v>122</v>
      </c>
      <c r="F399" s="5" t="s">
        <v>49</v>
      </c>
      <c r="G399" s="5" t="s">
        <v>1716</v>
      </c>
      <c r="H399" s="5" t="s">
        <v>51</v>
      </c>
      <c r="I399" s="5" t="s">
        <v>59</v>
      </c>
      <c r="J399" s="5" t="s">
        <v>24</v>
      </c>
      <c r="K399" s="6" t="str">
        <f t="shared" si="1"/>
        <v>082192206644</v>
      </c>
      <c r="L399" s="6" t="str">
        <f>IFERROR(
VLOOKUP(
TRIM(
IF(ISNUMBER(FIND(",",E399)),
LEFT(E399,FIND(",",E399)-1),
E399
)
),
master!A:B,
2,
FALSE
),
"Belum ada mapping"
)
</f>
        <v>Sulawesi Selatan</v>
      </c>
      <c r="M399" s="6">
        <f>IFERROR(__xludf.DUMMYFUNCTION("IF(REGEXMATCH(I399,""Cari Kerja""),1,0)
"),0.0)</f>
        <v>0</v>
      </c>
      <c r="N399" s="6">
        <f>IFERROR(__xludf.DUMMYFUNCTION("IF(REGEXMATCH(I399,""Upskill""),1,0)
"),1.0)</f>
        <v>1</v>
      </c>
      <c r="O399" s="6">
        <f>IFERROR(__xludf.DUMMYFUNCTION("IF(REGEXMATCH(I399,""Networking""),1,0)
"),1.0)</f>
        <v>1</v>
      </c>
      <c r="P399" s="6">
        <f>IFERROR(__xludf.DUMMYFUNCTION("IF(REGEXMATCH(I399,""Switch Career""),1,0)
"),0.0)</f>
        <v>0</v>
      </c>
    </row>
    <row r="400" ht="22.5" customHeight="1">
      <c r="A400" s="3">
        <v>46048.92860017361</v>
      </c>
      <c r="B400" s="5" t="s">
        <v>1717</v>
      </c>
      <c r="C400" s="5" t="s">
        <v>1718</v>
      </c>
      <c r="D400" s="4" t="s">
        <v>1719</v>
      </c>
      <c r="E400" s="5" t="s">
        <v>484</v>
      </c>
      <c r="F400" s="5" t="s">
        <v>20</v>
      </c>
      <c r="G400" s="5" t="s">
        <v>1720</v>
      </c>
      <c r="H400" s="5" t="s">
        <v>225</v>
      </c>
      <c r="I400" s="5" t="s">
        <v>23</v>
      </c>
      <c r="J400" s="5" t="s">
        <v>24</v>
      </c>
      <c r="K400" s="6" t="str">
        <f t="shared" si="1"/>
        <v>087744697799</v>
      </c>
      <c r="L400" s="6" t="str">
        <f>IFERROR(
VLOOKUP(
TRIM(
IF(ISNUMBER(FIND(",",E400)),
LEFT(E400,FIND(",",E400)-1),
E400
)
),
master!A:B,
2,
FALSE
),
"Belum ada mapping"
)
</f>
        <v>Jawa Tengah</v>
      </c>
      <c r="M400" s="6">
        <f>IFERROR(__xludf.DUMMYFUNCTION("IF(REGEXMATCH(I400,""Cari Kerja""),1,0)
"),1.0)</f>
        <v>1</v>
      </c>
      <c r="N400" s="6">
        <f>IFERROR(__xludf.DUMMYFUNCTION("IF(REGEXMATCH(I400,""Upskill""),1,0)
"),1.0)</f>
        <v>1</v>
      </c>
      <c r="O400" s="6">
        <f>IFERROR(__xludf.DUMMYFUNCTION("IF(REGEXMATCH(I400,""Networking""),1,0)
"),1.0)</f>
        <v>1</v>
      </c>
      <c r="P400" s="6">
        <f>IFERROR(__xludf.DUMMYFUNCTION("IF(REGEXMATCH(I400,""Switch Career""),1,0)
"),0.0)</f>
        <v>0</v>
      </c>
    </row>
    <row r="401" ht="22.5" customHeight="1">
      <c r="A401" s="3">
        <v>46046.654400405096</v>
      </c>
      <c r="B401" s="5" t="s">
        <v>1721</v>
      </c>
      <c r="C401" s="5" t="s">
        <v>1722</v>
      </c>
      <c r="D401" s="4" t="s">
        <v>1723</v>
      </c>
      <c r="E401" s="5" t="s">
        <v>400</v>
      </c>
      <c r="F401" s="5" t="s">
        <v>20</v>
      </c>
      <c r="G401" s="5" t="s">
        <v>1724</v>
      </c>
      <c r="H401" s="5" t="s">
        <v>51</v>
      </c>
      <c r="I401" s="5" t="s">
        <v>23</v>
      </c>
      <c r="J401" s="5" t="s">
        <v>24</v>
      </c>
      <c r="K401" s="6" t="str">
        <f t="shared" si="1"/>
        <v>087872658284</v>
      </c>
      <c r="L401" s="6" t="str">
        <f>IFERROR(
VLOOKUP(
TRIM(
IF(ISNUMBER(FIND(",",E401)),
LEFT(E401,FIND(",",E401)-1),
E401
)
),
master!A:B,
2,
FALSE
),
"Belum ada mapping"
)
</f>
        <v>Jakarta</v>
      </c>
      <c r="M401" s="6">
        <f>IFERROR(__xludf.DUMMYFUNCTION("IF(REGEXMATCH(I401,""Cari Kerja""),1,0)
"),1.0)</f>
        <v>1</v>
      </c>
      <c r="N401" s="6">
        <f>IFERROR(__xludf.DUMMYFUNCTION("IF(REGEXMATCH(I401,""Upskill""),1,0)
"),1.0)</f>
        <v>1</v>
      </c>
      <c r="O401" s="6">
        <f>IFERROR(__xludf.DUMMYFUNCTION("IF(REGEXMATCH(I401,""Networking""),1,0)
"),1.0)</f>
        <v>1</v>
      </c>
      <c r="P401" s="6">
        <f>IFERROR(__xludf.DUMMYFUNCTION("IF(REGEXMATCH(I401,""Switch Career""),1,0)
"),0.0)</f>
        <v>0</v>
      </c>
    </row>
    <row r="402" ht="22.5" customHeight="1">
      <c r="A402" s="3">
        <v>46042.54158951389</v>
      </c>
      <c r="B402" s="5" t="s">
        <v>1725</v>
      </c>
      <c r="C402" s="5" t="s">
        <v>1726</v>
      </c>
      <c r="D402" s="4" t="s">
        <v>1727</v>
      </c>
      <c r="E402" s="5" t="s">
        <v>158</v>
      </c>
      <c r="F402" s="5" t="s">
        <v>49</v>
      </c>
      <c r="G402" s="5" t="s">
        <v>1728</v>
      </c>
      <c r="H402" s="5" t="s">
        <v>1729</v>
      </c>
      <c r="I402" s="5" t="s">
        <v>13</v>
      </c>
      <c r="J402" s="5" t="s">
        <v>38</v>
      </c>
      <c r="K402" s="6" t="str">
        <f t="shared" si="1"/>
        <v>085819439108</v>
      </c>
      <c r="L402" s="6" t="str">
        <f>IFERROR(
VLOOKUP(
TRIM(
IF(ISNUMBER(FIND(",",E402)),
LEFT(E402,FIND(",",E402)-1),
E402
)
),
master!A:B,
2,
FALSE
),
"Belum ada mapping"
)
</f>
        <v>Jawa Barat</v>
      </c>
      <c r="M402" s="6">
        <f>IFERROR(__xludf.DUMMYFUNCTION("IF(REGEXMATCH(I402,""Cari Kerja""),1,0)
"),0.0)</f>
        <v>0</v>
      </c>
      <c r="N402" s="6">
        <f>IFERROR(__xludf.DUMMYFUNCTION("IF(REGEXMATCH(I402,""Upskill""),1,0)
"),1.0)</f>
        <v>1</v>
      </c>
      <c r="O402" s="6">
        <f>IFERROR(__xludf.DUMMYFUNCTION("IF(REGEXMATCH(I402,""Networking""),1,0)
"),0.0)</f>
        <v>0</v>
      </c>
      <c r="P402" s="6">
        <f>IFERROR(__xludf.DUMMYFUNCTION("IF(REGEXMATCH(I402,""Switch Career""),1,0)
"),0.0)</f>
        <v>0</v>
      </c>
    </row>
    <row r="403" ht="22.5" customHeight="1">
      <c r="A403" s="7">
        <v>46040.340215081014</v>
      </c>
      <c r="B403" s="8" t="s">
        <v>1730</v>
      </c>
      <c r="C403" s="8" t="s">
        <v>1731</v>
      </c>
      <c r="D403" s="9" t="s">
        <v>1732</v>
      </c>
      <c r="E403" s="8" t="s">
        <v>327</v>
      </c>
      <c r="F403" s="8" t="s">
        <v>20</v>
      </c>
      <c r="G403" s="8" t="s">
        <v>1733</v>
      </c>
      <c r="H403" s="8" t="s">
        <v>51</v>
      </c>
      <c r="I403" s="8" t="s">
        <v>31</v>
      </c>
      <c r="J403" s="8" t="s">
        <v>24</v>
      </c>
      <c r="K403" s="6" t="str">
        <f t="shared" si="1"/>
        <v>087740119943</v>
      </c>
      <c r="L403" s="6" t="str">
        <f>IFERROR(
VLOOKUP(
TRIM(
IF(ISNUMBER(FIND(",",E403)),
LEFT(E403,FIND(",",E403)-1),
E403
)
),
master!A:B,
2,
FALSE
),
"Belum ada mapping"
)
</f>
        <v>Jakarta</v>
      </c>
      <c r="M403" s="6">
        <f>IFERROR(__xludf.DUMMYFUNCTION("IF(REGEXMATCH(I403,""Cari Kerja""),1,0)
"),1.0)</f>
        <v>1</v>
      </c>
      <c r="N403" s="6">
        <f>IFERROR(__xludf.DUMMYFUNCTION("IF(REGEXMATCH(I403,""Upskill""),1,0)
"),1.0)</f>
        <v>1</v>
      </c>
      <c r="O403" s="6">
        <f>IFERROR(__xludf.DUMMYFUNCTION("IF(REGEXMATCH(I403,""Networking""),1,0)
"),1.0)</f>
        <v>1</v>
      </c>
      <c r="P403" s="6">
        <f>IFERROR(__xludf.DUMMYFUNCTION("IF(REGEXMATCH(I403,""Switch Career""),1,0)
"),1.0)</f>
        <v>1</v>
      </c>
    </row>
    <row r="404" ht="22.5" customHeight="1">
      <c r="A404" s="3">
        <v>46046.599685451394</v>
      </c>
      <c r="B404" s="5" t="s">
        <v>1734</v>
      </c>
      <c r="C404" s="5" t="s">
        <v>1735</v>
      </c>
      <c r="D404" s="4" t="s">
        <v>1736</v>
      </c>
      <c r="E404" s="5" t="s">
        <v>158</v>
      </c>
      <c r="F404" s="5" t="s">
        <v>20</v>
      </c>
      <c r="G404" s="5" t="s">
        <v>21</v>
      </c>
      <c r="H404" s="5" t="s">
        <v>51</v>
      </c>
      <c r="I404" s="5" t="s">
        <v>23</v>
      </c>
      <c r="J404" s="5" t="s">
        <v>24</v>
      </c>
      <c r="K404" s="6" t="str">
        <f t="shared" si="1"/>
        <v>088212343331</v>
      </c>
      <c r="L404" s="6" t="str">
        <f>IFERROR(
VLOOKUP(
TRIM(
IF(ISNUMBER(FIND(",",E404)),
LEFT(E404,FIND(",",E404)-1),
E404
)
),
master!A:B,
2,
FALSE
),
"Belum ada mapping"
)
</f>
        <v>Jawa Barat</v>
      </c>
      <c r="M404" s="6">
        <f>IFERROR(__xludf.DUMMYFUNCTION("IF(REGEXMATCH(I404,""Cari Kerja""),1,0)
"),1.0)</f>
        <v>1</v>
      </c>
      <c r="N404" s="6">
        <f>IFERROR(__xludf.DUMMYFUNCTION("IF(REGEXMATCH(I404,""Upskill""),1,0)
"),1.0)</f>
        <v>1</v>
      </c>
      <c r="O404" s="6">
        <f>IFERROR(__xludf.DUMMYFUNCTION("IF(REGEXMATCH(I404,""Networking""),1,0)
"),1.0)</f>
        <v>1</v>
      </c>
      <c r="P404" s="6">
        <f>IFERROR(__xludf.DUMMYFUNCTION("IF(REGEXMATCH(I404,""Switch Career""),1,0)
"),0.0)</f>
        <v>0</v>
      </c>
    </row>
    <row r="405" ht="22.5" customHeight="1">
      <c r="A405" s="3">
        <v>46042.88243986111</v>
      </c>
      <c r="B405" s="5" t="s">
        <v>1737</v>
      </c>
      <c r="C405" s="5" t="s">
        <v>1738</v>
      </c>
      <c r="D405" s="4" t="s">
        <v>1739</v>
      </c>
      <c r="E405" s="5" t="s">
        <v>1740</v>
      </c>
      <c r="F405" s="5" t="s">
        <v>49</v>
      </c>
      <c r="G405" s="5" t="s">
        <v>1741</v>
      </c>
      <c r="H405" s="5" t="s">
        <v>51</v>
      </c>
      <c r="I405" s="5" t="s">
        <v>15</v>
      </c>
      <c r="J405" s="5" t="s">
        <v>24</v>
      </c>
      <c r="K405" s="6" t="str">
        <f t="shared" si="1"/>
        <v>085741538970</v>
      </c>
      <c r="L405" s="6" t="str">
        <f>IFERROR(
VLOOKUP(
TRIM(
IF(ISNUMBER(FIND(",",E405)),
LEFT(E405,FIND(",",E405)-1),
E405
)
),
master!A:B,
2,
FALSE
),
"Belum ada mapping"
)
</f>
        <v>Jawa Tengah</v>
      </c>
      <c r="M405" s="6">
        <f>IFERROR(__xludf.DUMMYFUNCTION("IF(REGEXMATCH(I405,""Cari Kerja""),1,0)
"),0.0)</f>
        <v>0</v>
      </c>
      <c r="N405" s="6">
        <f>IFERROR(__xludf.DUMMYFUNCTION("IF(REGEXMATCH(I405,""Upskill""),1,0)
"),0.0)</f>
        <v>0</v>
      </c>
      <c r="O405" s="6">
        <f>IFERROR(__xludf.DUMMYFUNCTION("IF(REGEXMATCH(I405,""Networking""),1,0)
"),0.0)</f>
        <v>0</v>
      </c>
      <c r="P405" s="6">
        <f>IFERROR(__xludf.DUMMYFUNCTION("IF(REGEXMATCH(I405,""Switch Career""),1,0)
"),1.0)</f>
        <v>1</v>
      </c>
    </row>
    <row r="406" ht="22.5" customHeight="1">
      <c r="A406" s="3">
        <v>46042.36496371528</v>
      </c>
      <c r="B406" s="5" t="s">
        <v>1742</v>
      </c>
      <c r="C406" s="5" t="s">
        <v>1743</v>
      </c>
      <c r="D406" s="4" t="s">
        <v>1744</v>
      </c>
      <c r="E406" s="5" t="s">
        <v>1701</v>
      </c>
      <c r="F406" s="5" t="s">
        <v>20</v>
      </c>
      <c r="G406" s="5" t="s">
        <v>1745</v>
      </c>
      <c r="H406" s="5" t="s">
        <v>187</v>
      </c>
      <c r="I406" s="5" t="s">
        <v>23</v>
      </c>
      <c r="J406" s="5" t="s">
        <v>24</v>
      </c>
      <c r="K406" s="6" t="str">
        <f t="shared" si="1"/>
        <v>085731105650</v>
      </c>
      <c r="L406" s="6" t="str">
        <f>IFERROR(
VLOOKUP(
TRIM(
IF(ISNUMBER(FIND(",",E406)),
LEFT(E406,FIND(",",E406)-1),
E406
)
),
master!A:B,
2,
FALSE
),
"Belum ada mapping"
)
</f>
        <v>Jawa Tengah</v>
      </c>
      <c r="M406" s="6">
        <f>IFERROR(__xludf.DUMMYFUNCTION("IF(REGEXMATCH(I406,""Cari Kerja""),1,0)
"),1.0)</f>
        <v>1</v>
      </c>
      <c r="N406" s="6">
        <f>IFERROR(__xludf.DUMMYFUNCTION("IF(REGEXMATCH(I406,""Upskill""),1,0)
"),1.0)</f>
        <v>1</v>
      </c>
      <c r="O406" s="6">
        <f>IFERROR(__xludf.DUMMYFUNCTION("IF(REGEXMATCH(I406,""Networking""),1,0)
"),1.0)</f>
        <v>1</v>
      </c>
      <c r="P406" s="6">
        <f>IFERROR(__xludf.DUMMYFUNCTION("IF(REGEXMATCH(I406,""Switch Career""),1,0)
"),0.0)</f>
        <v>0</v>
      </c>
    </row>
    <row r="407" ht="22.5" customHeight="1">
      <c r="A407" s="3">
        <v>46049.33001792824</v>
      </c>
      <c r="B407" s="5" t="s">
        <v>1746</v>
      </c>
      <c r="C407" s="5" t="s">
        <v>1747</v>
      </c>
      <c r="D407" s="4" t="s">
        <v>1748</v>
      </c>
      <c r="E407" s="5" t="s">
        <v>92</v>
      </c>
      <c r="F407" s="5" t="s">
        <v>49</v>
      </c>
      <c r="G407" s="5" t="s">
        <v>867</v>
      </c>
      <c r="H407" s="5" t="s">
        <v>439</v>
      </c>
      <c r="I407" s="5" t="s">
        <v>59</v>
      </c>
      <c r="J407" s="5" t="s">
        <v>24</v>
      </c>
      <c r="K407" s="6" t="str">
        <f t="shared" si="1"/>
        <v>085280297636</v>
      </c>
      <c r="L407" s="6" t="str">
        <f>IFERROR(
VLOOKUP(
TRIM(
IF(ISNUMBER(FIND(",",E407)),
LEFT(E407,FIND(",",E407)-1),
E407
)
),
master!A:B,
2,
FALSE
),
"Belum ada mapping"
)
</f>
        <v>Jawa Barat</v>
      </c>
      <c r="M407" s="6">
        <f>IFERROR(__xludf.DUMMYFUNCTION("IF(REGEXMATCH(I407,""Cari Kerja""),1,0)
"),0.0)</f>
        <v>0</v>
      </c>
      <c r="N407" s="6">
        <f>IFERROR(__xludf.DUMMYFUNCTION("IF(REGEXMATCH(I407,""Upskill""),1,0)
"),1.0)</f>
        <v>1</v>
      </c>
      <c r="O407" s="6">
        <f>IFERROR(__xludf.DUMMYFUNCTION("IF(REGEXMATCH(I407,""Networking""),1,0)
"),1.0)</f>
        <v>1</v>
      </c>
      <c r="P407" s="6">
        <f>IFERROR(__xludf.DUMMYFUNCTION("IF(REGEXMATCH(I407,""Switch Career""),1,0)
"),0.0)</f>
        <v>0</v>
      </c>
    </row>
    <row r="408" ht="22.5" customHeight="1">
      <c r="A408" s="3">
        <v>46064.39944550926</v>
      </c>
      <c r="B408" s="5" t="s">
        <v>1749</v>
      </c>
      <c r="C408" s="5" t="s">
        <v>1750</v>
      </c>
      <c r="D408" s="4" t="s">
        <v>1751</v>
      </c>
      <c r="E408" s="5" t="s">
        <v>364</v>
      </c>
      <c r="F408" s="5" t="s">
        <v>49</v>
      </c>
      <c r="G408" s="5" t="s">
        <v>1752</v>
      </c>
      <c r="H408" s="5" t="s">
        <v>1753</v>
      </c>
      <c r="I408" s="5" t="s">
        <v>31</v>
      </c>
      <c r="J408" s="5" t="s">
        <v>24</v>
      </c>
      <c r="K408" s="10" t="str">
        <f t="shared" si="1"/>
        <v>081324295865</v>
      </c>
      <c r="L408" s="10" t="str">
        <f>IFERROR(
VLOOKUP(
TRIM(
IF(ISNUMBER(FIND(",",E408)),
LEFT(E408,FIND(",",E408)-1),
E408
)
),
master!A:B,
2,
FALSE
),
"Belum ada mapping"
)
</f>
        <v>Jakarta</v>
      </c>
      <c r="M408" s="10">
        <f>IFERROR(__xludf.DUMMYFUNCTION("IF(REGEXMATCH(I408,""Cari Kerja""),1,0)
"),1.0)</f>
        <v>1</v>
      </c>
      <c r="N408" s="10">
        <f>IFERROR(__xludf.DUMMYFUNCTION("IF(REGEXMATCH(I408,""Upskill""),1,0)
"),1.0)</f>
        <v>1</v>
      </c>
      <c r="O408" s="10">
        <f>IFERROR(__xludf.DUMMYFUNCTION("IF(REGEXMATCH(I408,""Networking""),1,0)
"),1.0)</f>
        <v>1</v>
      </c>
      <c r="P408" s="10">
        <f>IFERROR(__xludf.DUMMYFUNCTION("IF(REGEXMATCH(I408,""Switch Career""),1,0)
"),1.0)</f>
        <v>1</v>
      </c>
    </row>
    <row r="409" ht="22.5" customHeight="1">
      <c r="A409" s="3">
        <v>46048.89378935185</v>
      </c>
      <c r="B409" s="5" t="s">
        <v>1754</v>
      </c>
      <c r="C409" s="5" t="s">
        <v>1755</v>
      </c>
      <c r="D409" s="4" t="s">
        <v>1756</v>
      </c>
      <c r="E409" s="5" t="s">
        <v>364</v>
      </c>
      <c r="F409" s="5" t="s">
        <v>20</v>
      </c>
      <c r="G409" s="5" t="s">
        <v>21</v>
      </c>
      <c r="H409" s="5" t="s">
        <v>214</v>
      </c>
      <c r="I409" s="5" t="s">
        <v>23</v>
      </c>
      <c r="J409" s="5" t="s">
        <v>24</v>
      </c>
      <c r="K409" s="6" t="str">
        <f t="shared" si="1"/>
        <v>085385210828</v>
      </c>
      <c r="L409" s="6" t="str">
        <f>IFERROR(
VLOOKUP(
TRIM(
IF(ISNUMBER(FIND(",",E409)),
LEFT(E409,FIND(",",E409)-1),
E409
)
),
master!A:B,
2,
FALSE
),
"Belum ada mapping"
)
</f>
        <v>Jakarta</v>
      </c>
      <c r="M409" s="6">
        <f>IFERROR(__xludf.DUMMYFUNCTION("IF(REGEXMATCH(I409,""Cari Kerja""),1,0)
"),1.0)</f>
        <v>1</v>
      </c>
      <c r="N409" s="6">
        <f>IFERROR(__xludf.DUMMYFUNCTION("IF(REGEXMATCH(I409,""Upskill""),1,0)
"),1.0)</f>
        <v>1</v>
      </c>
      <c r="O409" s="6">
        <f>IFERROR(__xludf.DUMMYFUNCTION("IF(REGEXMATCH(I409,""Networking""),1,0)
"),1.0)</f>
        <v>1</v>
      </c>
      <c r="P409" s="6">
        <f>IFERROR(__xludf.DUMMYFUNCTION("IF(REGEXMATCH(I409,""Switch Career""),1,0)
"),0.0)</f>
        <v>0</v>
      </c>
    </row>
    <row r="410" ht="22.5" customHeight="1">
      <c r="A410" s="3">
        <v>46042.6767165162</v>
      </c>
      <c r="B410" s="5" t="s">
        <v>1757</v>
      </c>
      <c r="C410" s="5" t="s">
        <v>1758</v>
      </c>
      <c r="D410" s="4" t="s">
        <v>1759</v>
      </c>
      <c r="E410" s="5" t="s">
        <v>1760</v>
      </c>
      <c r="F410" s="5" t="s">
        <v>20</v>
      </c>
      <c r="G410" s="5" t="s">
        <v>240</v>
      </c>
      <c r="H410" s="5" t="s">
        <v>51</v>
      </c>
      <c r="I410" s="5" t="s">
        <v>23</v>
      </c>
      <c r="J410" s="5" t="s">
        <v>76</v>
      </c>
      <c r="K410" s="6" t="str">
        <f t="shared" si="1"/>
        <v>08875727447</v>
      </c>
      <c r="L410" s="6" t="str">
        <f>IFERROR(
VLOOKUP(
TRIM(
IF(ISNUMBER(FIND(",",E410)),
LEFT(E410,FIND(",",E410)-1),
E410
)
),
master!A:B,
2,
FALSE
),
"Belum ada mapping"
)
</f>
        <v>Kalimantan Selatan</v>
      </c>
      <c r="M410" s="6">
        <f>IFERROR(__xludf.DUMMYFUNCTION("IF(REGEXMATCH(I410,""Cari Kerja""),1,0)
"),1.0)</f>
        <v>1</v>
      </c>
      <c r="N410" s="6">
        <f>IFERROR(__xludf.DUMMYFUNCTION("IF(REGEXMATCH(I410,""Upskill""),1,0)
"),1.0)</f>
        <v>1</v>
      </c>
      <c r="O410" s="6">
        <f>IFERROR(__xludf.DUMMYFUNCTION("IF(REGEXMATCH(I410,""Networking""),1,0)
"),1.0)</f>
        <v>1</v>
      </c>
      <c r="P410" s="6">
        <f>IFERROR(__xludf.DUMMYFUNCTION("IF(REGEXMATCH(I410,""Switch Career""),1,0)
"),0.0)</f>
        <v>0</v>
      </c>
    </row>
    <row r="411" ht="22.5" customHeight="1">
      <c r="A411" s="3">
        <v>46045.48049018519</v>
      </c>
      <c r="B411" s="5" t="s">
        <v>1761</v>
      </c>
      <c r="C411" s="5" t="s">
        <v>1762</v>
      </c>
      <c r="D411" s="4" t="s">
        <v>1763</v>
      </c>
      <c r="E411" s="5" t="s">
        <v>452</v>
      </c>
      <c r="F411" s="5" t="s">
        <v>20</v>
      </c>
      <c r="G411" s="5" t="s">
        <v>1764</v>
      </c>
      <c r="H411" s="5" t="s">
        <v>51</v>
      </c>
      <c r="I411" s="5" t="s">
        <v>23</v>
      </c>
      <c r="J411" s="5" t="s">
        <v>24</v>
      </c>
      <c r="K411" s="6" t="str">
        <f t="shared" si="1"/>
        <v>083174450661</v>
      </c>
      <c r="L411" s="6" t="str">
        <f>IFERROR(
VLOOKUP(
TRIM(
IF(ISNUMBER(FIND(",",E411)),
LEFT(E411,FIND(",",E411)-1),
E411
)
),
master!A:B,
2,
FALSE
),
"Belum ada mapping"
)
</f>
        <v>Sumatera Selatan</v>
      </c>
      <c r="M411" s="6">
        <f>IFERROR(__xludf.DUMMYFUNCTION("IF(REGEXMATCH(I411,""Cari Kerja""),1,0)
"),1.0)</f>
        <v>1</v>
      </c>
      <c r="N411" s="6">
        <f>IFERROR(__xludf.DUMMYFUNCTION("IF(REGEXMATCH(I411,""Upskill""),1,0)
"),1.0)</f>
        <v>1</v>
      </c>
      <c r="O411" s="6">
        <f>IFERROR(__xludf.DUMMYFUNCTION("IF(REGEXMATCH(I411,""Networking""),1,0)
"),1.0)</f>
        <v>1</v>
      </c>
      <c r="P411" s="6">
        <f>IFERROR(__xludf.DUMMYFUNCTION("IF(REGEXMATCH(I411,""Switch Career""),1,0)
"),0.0)</f>
        <v>0</v>
      </c>
    </row>
    <row r="412" ht="22.5" customHeight="1">
      <c r="A412" s="3">
        <v>46119.45207018519</v>
      </c>
      <c r="B412" s="5" t="s">
        <v>1765</v>
      </c>
      <c r="C412" s="5" t="s">
        <v>1766</v>
      </c>
      <c r="D412" s="4" t="s">
        <v>1767</v>
      </c>
      <c r="E412" s="5" t="s">
        <v>1768</v>
      </c>
      <c r="F412" s="5" t="s">
        <v>20</v>
      </c>
      <c r="G412" s="5" t="s">
        <v>1769</v>
      </c>
      <c r="H412" s="5" t="s">
        <v>51</v>
      </c>
      <c r="I412" s="5" t="s">
        <v>23</v>
      </c>
      <c r="J412" s="5" t="s">
        <v>24</v>
      </c>
      <c r="K412" s="10" t="str">
        <f t="shared" si="1"/>
        <v>081217831373</v>
      </c>
      <c r="L412" s="10" t="str">
        <f>IFERROR(
VLOOKUP(
TRIM(
IF(ISNUMBER(FIND(",",E412)),
LEFT(E412,FIND(",",E412)-1),
E412
)
),
master!A:B,
2,
FALSE
),
"Belum ada mapping"
)
</f>
        <v>Sumatera Selatan</v>
      </c>
      <c r="M412" s="10">
        <f>IFERROR(__xludf.DUMMYFUNCTION("IF(REGEXMATCH(I412,""Cari Kerja""),1,0)
"),1.0)</f>
        <v>1</v>
      </c>
      <c r="N412" s="10">
        <f>IFERROR(__xludf.DUMMYFUNCTION("IF(REGEXMATCH(I412,""Upskill""),1,0)
"),1.0)</f>
        <v>1</v>
      </c>
      <c r="O412" s="10">
        <f>IFERROR(__xludf.DUMMYFUNCTION("IF(REGEXMATCH(I412,""Networking""),1,0)
"),1.0)</f>
        <v>1</v>
      </c>
      <c r="P412" s="10">
        <f>IFERROR(__xludf.DUMMYFUNCTION("IF(REGEXMATCH(I412,""Switch Career""),1,0)
"),0.0)</f>
        <v>0</v>
      </c>
    </row>
    <row r="413" ht="22.5" customHeight="1">
      <c r="A413" s="3">
        <v>46119.45505568287</v>
      </c>
      <c r="B413" s="5" t="s">
        <v>1765</v>
      </c>
      <c r="C413" s="5" t="s">
        <v>1766</v>
      </c>
      <c r="D413" s="4" t="s">
        <v>1767</v>
      </c>
      <c r="E413" s="5" t="s">
        <v>1768</v>
      </c>
      <c r="F413" s="5" t="s">
        <v>20</v>
      </c>
      <c r="G413" s="5" t="s">
        <v>1769</v>
      </c>
      <c r="H413" s="5" t="s">
        <v>51</v>
      </c>
      <c r="I413" s="5" t="s">
        <v>23</v>
      </c>
      <c r="J413" s="5" t="s">
        <v>24</v>
      </c>
      <c r="K413" s="10" t="str">
        <f t="shared" si="1"/>
        <v>081217831373</v>
      </c>
      <c r="L413" s="10" t="str">
        <f>IFERROR(
VLOOKUP(
TRIM(
IF(ISNUMBER(FIND(",",E413)),
LEFT(E413,FIND(",",E413)-1),
E413
)
),
master!A:B,
2,
FALSE
),
"Belum ada mapping"
)
</f>
        <v>Sumatera Selatan</v>
      </c>
      <c r="M413" s="10">
        <f>IFERROR(__xludf.DUMMYFUNCTION("IF(REGEXMATCH(I413,""Cari Kerja""),1,0)
"),1.0)</f>
        <v>1</v>
      </c>
      <c r="N413" s="10">
        <f>IFERROR(__xludf.DUMMYFUNCTION("IF(REGEXMATCH(I413,""Upskill""),1,0)
"),1.0)</f>
        <v>1</v>
      </c>
      <c r="O413" s="10">
        <f>IFERROR(__xludf.DUMMYFUNCTION("IF(REGEXMATCH(I413,""Networking""),1,0)
"),1.0)</f>
        <v>1</v>
      </c>
      <c r="P413" s="10">
        <f>IFERROR(__xludf.DUMMYFUNCTION("IF(REGEXMATCH(I413,""Switch Career""),1,0)
"),0.0)</f>
        <v>0</v>
      </c>
    </row>
    <row r="414" ht="22.5" customHeight="1">
      <c r="A414" s="7">
        <v>46040.439932974536</v>
      </c>
      <c r="B414" s="8" t="s">
        <v>1770</v>
      </c>
      <c r="C414" s="8" t="s">
        <v>1771</v>
      </c>
      <c r="D414" s="9" t="s">
        <v>1772</v>
      </c>
      <c r="E414" s="8" t="s">
        <v>122</v>
      </c>
      <c r="F414" s="8" t="s">
        <v>49</v>
      </c>
      <c r="G414" s="8" t="s">
        <v>1773</v>
      </c>
      <c r="H414" s="8" t="s">
        <v>1774</v>
      </c>
      <c r="I414" s="8" t="s">
        <v>52</v>
      </c>
      <c r="J414" s="8" t="s">
        <v>24</v>
      </c>
      <c r="K414" s="6" t="str">
        <f t="shared" si="1"/>
        <v>082348806599</v>
      </c>
      <c r="L414" s="6" t="str">
        <f>IFERROR(
VLOOKUP(
TRIM(
IF(ISNUMBER(FIND(",",E414)),
LEFT(E414,FIND(",",E414)-1),
E414
)
),
master!A:B,
2,
FALSE
),
"Belum ada mapping"
)
</f>
        <v>Sulawesi Selatan</v>
      </c>
      <c r="M414" s="6">
        <f>IFERROR(__xludf.DUMMYFUNCTION("IF(REGEXMATCH(I414,""Cari Kerja""),1,0)
"),0.0)</f>
        <v>0</v>
      </c>
      <c r="N414" s="6">
        <f>IFERROR(__xludf.DUMMYFUNCTION("IF(REGEXMATCH(I414,""Upskill""),1,0)
"),1.0)</f>
        <v>1</v>
      </c>
      <c r="O414" s="6">
        <f>IFERROR(__xludf.DUMMYFUNCTION("IF(REGEXMATCH(I414,""Networking""),1,0)
"),1.0)</f>
        <v>1</v>
      </c>
      <c r="P414" s="6">
        <f>IFERROR(__xludf.DUMMYFUNCTION("IF(REGEXMATCH(I414,""Switch Career""),1,0)
"),1.0)</f>
        <v>1</v>
      </c>
    </row>
    <row r="415" ht="22.5" customHeight="1">
      <c r="A415" s="3">
        <v>46041.65022011574</v>
      </c>
      <c r="B415" s="5" t="s">
        <v>1775</v>
      </c>
      <c r="C415" s="5" t="s">
        <v>1776</v>
      </c>
      <c r="D415" s="4" t="s">
        <v>1777</v>
      </c>
      <c r="E415" s="5" t="s">
        <v>1010</v>
      </c>
      <c r="F415" s="5" t="s">
        <v>20</v>
      </c>
      <c r="G415" s="5" t="s">
        <v>1778</v>
      </c>
      <c r="H415" s="5" t="s">
        <v>82</v>
      </c>
      <c r="I415" s="5" t="s">
        <v>130</v>
      </c>
      <c r="J415" s="5" t="s">
        <v>24</v>
      </c>
      <c r="K415" s="6" t="str">
        <f t="shared" si="1"/>
        <v>089506279606</v>
      </c>
      <c r="L415" s="6" t="str">
        <f>IFERROR(
VLOOKUP(
TRIM(
IF(ISNUMBER(FIND(",",E415)),
LEFT(E415,FIND(",",E415)-1),
E415
)
),
master!A:B,
2,
FALSE
),
"Belum ada mapping"
)
</f>
        <v>Jawa Barat</v>
      </c>
      <c r="M415" s="6">
        <f>IFERROR(__xludf.DUMMYFUNCTION("IF(REGEXMATCH(I415,""Cari Kerja""),1,0)
"),1.0)</f>
        <v>1</v>
      </c>
      <c r="N415" s="6">
        <f>IFERROR(__xludf.DUMMYFUNCTION("IF(REGEXMATCH(I415,""Upskill""),1,0)
"),1.0)</f>
        <v>1</v>
      </c>
      <c r="O415" s="6">
        <f>IFERROR(__xludf.DUMMYFUNCTION("IF(REGEXMATCH(I415,""Networking""),1,0)
"),0.0)</f>
        <v>0</v>
      </c>
      <c r="P415" s="6">
        <f>IFERROR(__xludf.DUMMYFUNCTION("IF(REGEXMATCH(I415,""Switch Career""),1,0)
"),0.0)</f>
        <v>0</v>
      </c>
    </row>
    <row r="416" ht="22.5" customHeight="1">
      <c r="A416" s="3">
        <v>46046.56681878472</v>
      </c>
      <c r="B416" s="5" t="s">
        <v>1779</v>
      </c>
      <c r="C416" s="5" t="s">
        <v>1780</v>
      </c>
      <c r="D416" s="4" t="s">
        <v>1781</v>
      </c>
      <c r="E416" s="5" t="s">
        <v>113</v>
      </c>
      <c r="F416" s="5" t="s">
        <v>20</v>
      </c>
      <c r="G416" s="5" t="s">
        <v>21</v>
      </c>
      <c r="H416" s="5" t="s">
        <v>22</v>
      </c>
      <c r="I416" s="5" t="s">
        <v>59</v>
      </c>
      <c r="J416" s="5" t="s">
        <v>24</v>
      </c>
      <c r="K416" s="6" t="str">
        <f t="shared" si="1"/>
        <v>085283269712</v>
      </c>
      <c r="L416" s="6" t="str">
        <f>IFERROR(
VLOOKUP(
TRIM(
IF(ISNUMBER(FIND(",",E416)),
LEFT(E416,FIND(",",E416)-1),
E416
)
),
master!A:B,
2,
FALSE
),
"Belum ada mapping"
)
</f>
        <v>Sumatera Utara</v>
      </c>
      <c r="M416" s="6">
        <f>IFERROR(__xludf.DUMMYFUNCTION("IF(REGEXMATCH(I416,""Cari Kerja""),1,0)
"),0.0)</f>
        <v>0</v>
      </c>
      <c r="N416" s="6">
        <f>IFERROR(__xludf.DUMMYFUNCTION("IF(REGEXMATCH(I416,""Upskill""),1,0)
"),1.0)</f>
        <v>1</v>
      </c>
      <c r="O416" s="6">
        <f>IFERROR(__xludf.DUMMYFUNCTION("IF(REGEXMATCH(I416,""Networking""),1,0)
"),1.0)</f>
        <v>1</v>
      </c>
      <c r="P416" s="6">
        <f>IFERROR(__xludf.DUMMYFUNCTION("IF(REGEXMATCH(I416,""Switch Career""),1,0)
"),0.0)</f>
        <v>0</v>
      </c>
    </row>
    <row r="417" ht="22.5" customHeight="1">
      <c r="A417" s="3">
        <v>46043.630347812505</v>
      </c>
      <c r="B417" s="5" t="s">
        <v>1782</v>
      </c>
      <c r="C417" s="5" t="s">
        <v>1783</v>
      </c>
      <c r="D417" s="4" t="s">
        <v>1784</v>
      </c>
      <c r="E417" s="5" t="s">
        <v>92</v>
      </c>
      <c r="F417" s="5" t="s">
        <v>20</v>
      </c>
      <c r="G417" s="5" t="s">
        <v>1785</v>
      </c>
      <c r="H417" s="5" t="s">
        <v>37</v>
      </c>
      <c r="I417" s="5" t="s">
        <v>235</v>
      </c>
      <c r="J417" s="5" t="s">
        <v>24</v>
      </c>
      <c r="K417" s="6" t="str">
        <f t="shared" si="1"/>
        <v>085710630086</v>
      </c>
      <c r="L417" s="6" t="str">
        <f>IFERROR(
VLOOKUP(
TRIM(
IF(ISNUMBER(FIND(",",E417)),
LEFT(E417,FIND(",",E417)-1),
E417
)
),
master!A:B,
2,
FALSE
),
"Belum ada mapping"
)
</f>
        <v>Jawa Barat</v>
      </c>
      <c r="M417" s="6">
        <f>IFERROR(__xludf.DUMMYFUNCTION("IF(REGEXMATCH(I417,""Cari Kerja""),1,0)
"),1.0)</f>
        <v>1</v>
      </c>
      <c r="N417" s="6">
        <f>IFERROR(__xludf.DUMMYFUNCTION("IF(REGEXMATCH(I417,""Upskill""),1,0)
"),1.0)</f>
        <v>1</v>
      </c>
      <c r="O417" s="6">
        <f>IFERROR(__xludf.DUMMYFUNCTION("IF(REGEXMATCH(I417,""Networking""),1,0)
"),0.0)</f>
        <v>0</v>
      </c>
      <c r="P417" s="6">
        <f>IFERROR(__xludf.DUMMYFUNCTION("IF(REGEXMATCH(I417,""Switch Career""),1,0)
"),1.0)</f>
        <v>1</v>
      </c>
    </row>
    <row r="418" ht="22.5" customHeight="1">
      <c r="A418" s="3">
        <v>46043.26844219907</v>
      </c>
      <c r="B418" s="5" t="s">
        <v>1786</v>
      </c>
      <c r="C418" s="5" t="s">
        <v>1787</v>
      </c>
      <c r="D418" s="4" t="s">
        <v>1788</v>
      </c>
      <c r="E418" s="5" t="s">
        <v>596</v>
      </c>
      <c r="F418" s="5" t="s">
        <v>20</v>
      </c>
      <c r="G418" s="5" t="s">
        <v>780</v>
      </c>
      <c r="H418" s="5" t="s">
        <v>51</v>
      </c>
      <c r="I418" s="5" t="s">
        <v>59</v>
      </c>
      <c r="J418" s="5" t="s">
        <v>24</v>
      </c>
      <c r="K418" s="6" t="str">
        <f t="shared" si="1"/>
        <v>089509050404</v>
      </c>
      <c r="L418" s="6" t="str">
        <f>IFERROR(
VLOOKUP(
TRIM(
IF(ISNUMBER(FIND(",",E418)),
LEFT(E418,FIND(",",E418)-1),
E418
)
),
master!A:B,
2,
FALSE
),
"Belum ada mapping"
)
</f>
        <v>Jawa Timur</v>
      </c>
      <c r="M418" s="6">
        <f>IFERROR(__xludf.DUMMYFUNCTION("IF(REGEXMATCH(I418,""Cari Kerja""),1,0)
"),0.0)</f>
        <v>0</v>
      </c>
      <c r="N418" s="6">
        <f>IFERROR(__xludf.DUMMYFUNCTION("IF(REGEXMATCH(I418,""Upskill""),1,0)
"),1.0)</f>
        <v>1</v>
      </c>
      <c r="O418" s="6">
        <f>IFERROR(__xludf.DUMMYFUNCTION("IF(REGEXMATCH(I418,""Networking""),1,0)
"),1.0)</f>
        <v>1</v>
      </c>
      <c r="P418" s="6">
        <f>IFERROR(__xludf.DUMMYFUNCTION("IF(REGEXMATCH(I418,""Switch Career""),1,0)
"),0.0)</f>
        <v>0</v>
      </c>
    </row>
    <row r="419" ht="22.5" customHeight="1">
      <c r="A419" s="3">
        <v>46045.141971875</v>
      </c>
      <c r="B419" s="5" t="s">
        <v>1786</v>
      </c>
      <c r="C419" s="5" t="s">
        <v>1787</v>
      </c>
      <c r="D419" s="4" t="s">
        <v>1788</v>
      </c>
      <c r="E419" s="5" t="s">
        <v>1789</v>
      </c>
      <c r="F419" s="5" t="s">
        <v>20</v>
      </c>
      <c r="G419" s="5" t="s">
        <v>780</v>
      </c>
      <c r="H419" s="5" t="s">
        <v>51</v>
      </c>
      <c r="I419" s="5" t="s">
        <v>13</v>
      </c>
      <c r="J419" s="5" t="s">
        <v>24</v>
      </c>
      <c r="K419" s="6" t="str">
        <f t="shared" si="1"/>
        <v>089509050404</v>
      </c>
      <c r="L419" s="6" t="str">
        <f>IFERROR(
VLOOKUP(
TRIM(
IF(ISNUMBER(FIND(",",E419)),
LEFT(E419,FIND(",",E419)-1),
E419
)
),
master!A:B,
2,
FALSE
),
"Belum ada mapping"
)
</f>
        <v>Jawa Timur</v>
      </c>
      <c r="M419" s="6">
        <f>IFERROR(__xludf.DUMMYFUNCTION("IF(REGEXMATCH(I419,""Cari Kerja""),1,0)
"),0.0)</f>
        <v>0</v>
      </c>
      <c r="N419" s="6">
        <f>IFERROR(__xludf.DUMMYFUNCTION("IF(REGEXMATCH(I419,""Upskill""),1,0)
"),1.0)</f>
        <v>1</v>
      </c>
      <c r="O419" s="6">
        <f>IFERROR(__xludf.DUMMYFUNCTION("IF(REGEXMATCH(I419,""Networking""),1,0)
"),0.0)</f>
        <v>0</v>
      </c>
      <c r="P419" s="6">
        <f>IFERROR(__xludf.DUMMYFUNCTION("IF(REGEXMATCH(I419,""Switch Career""),1,0)
"),0.0)</f>
        <v>0</v>
      </c>
    </row>
    <row r="420" ht="22.5" customHeight="1">
      <c r="A420" s="3">
        <v>46042.60113369213</v>
      </c>
      <c r="B420" s="5" t="s">
        <v>1790</v>
      </c>
      <c r="C420" s="5" t="s">
        <v>1791</v>
      </c>
      <c r="D420" s="4" t="s">
        <v>1792</v>
      </c>
      <c r="E420" s="5" t="s">
        <v>35</v>
      </c>
      <c r="F420" s="5" t="s">
        <v>20</v>
      </c>
      <c r="G420" s="5" t="s">
        <v>1793</v>
      </c>
      <c r="H420" s="5" t="s">
        <v>1412</v>
      </c>
      <c r="I420" s="5" t="s">
        <v>52</v>
      </c>
      <c r="J420" s="5" t="s">
        <v>24</v>
      </c>
      <c r="K420" s="6" t="str">
        <f t="shared" si="1"/>
        <v>0895342081068</v>
      </c>
      <c r="L420" s="6" t="str">
        <f>IFERROR(
VLOOKUP(
TRIM(
IF(ISNUMBER(FIND(",",E420)),
LEFT(E420,FIND(",",E420)-1),
E420
)
),
master!A:B,
2,
FALSE
),
"Belum ada mapping"
)
</f>
        <v>Jawa Timur</v>
      </c>
      <c r="M420" s="6">
        <f>IFERROR(__xludf.DUMMYFUNCTION("IF(REGEXMATCH(I420,""Cari Kerja""),1,0)
"),0.0)</f>
        <v>0</v>
      </c>
      <c r="N420" s="6">
        <f>IFERROR(__xludf.DUMMYFUNCTION("IF(REGEXMATCH(I420,""Upskill""),1,0)
"),1.0)</f>
        <v>1</v>
      </c>
      <c r="O420" s="6">
        <f>IFERROR(__xludf.DUMMYFUNCTION("IF(REGEXMATCH(I420,""Networking""),1,0)
"),1.0)</f>
        <v>1</v>
      </c>
      <c r="P420" s="6">
        <f>IFERROR(__xludf.DUMMYFUNCTION("IF(REGEXMATCH(I420,""Switch Career""),1,0)
"),1.0)</f>
        <v>1</v>
      </c>
    </row>
    <row r="421" ht="22.5" customHeight="1">
      <c r="A421" s="3">
        <v>46046.321628136575</v>
      </c>
      <c r="B421" s="5" t="s">
        <v>1794</v>
      </c>
      <c r="C421" s="5" t="s">
        <v>1795</v>
      </c>
      <c r="D421" s="4" t="s">
        <v>1796</v>
      </c>
      <c r="E421" s="5" t="s">
        <v>327</v>
      </c>
      <c r="F421" s="5" t="s">
        <v>49</v>
      </c>
      <c r="G421" s="5" t="s">
        <v>1797</v>
      </c>
      <c r="H421" s="5" t="s">
        <v>370</v>
      </c>
      <c r="I421" s="5" t="s">
        <v>13</v>
      </c>
      <c r="J421" s="5" t="s">
        <v>24</v>
      </c>
      <c r="K421" s="6" t="str">
        <f t="shared" si="1"/>
        <v>085179860213</v>
      </c>
      <c r="L421" s="6" t="str">
        <f>IFERROR(
VLOOKUP(
TRIM(
IF(ISNUMBER(FIND(",",E421)),
LEFT(E421,FIND(",",E421)-1),
E421
)
),
master!A:B,
2,
FALSE
),
"Belum ada mapping"
)
</f>
        <v>Jakarta</v>
      </c>
      <c r="M421" s="6">
        <f>IFERROR(__xludf.DUMMYFUNCTION("IF(REGEXMATCH(I421,""Cari Kerja""),1,0)
"),0.0)</f>
        <v>0</v>
      </c>
      <c r="N421" s="6">
        <f>IFERROR(__xludf.DUMMYFUNCTION("IF(REGEXMATCH(I421,""Upskill""),1,0)
"),1.0)</f>
        <v>1</v>
      </c>
      <c r="O421" s="6">
        <f>IFERROR(__xludf.DUMMYFUNCTION("IF(REGEXMATCH(I421,""Networking""),1,0)
"),0.0)</f>
        <v>0</v>
      </c>
      <c r="P421" s="6">
        <f>IFERROR(__xludf.DUMMYFUNCTION("IF(REGEXMATCH(I421,""Switch Career""),1,0)
"),0.0)</f>
        <v>0</v>
      </c>
    </row>
    <row r="422" ht="22.5" customHeight="1">
      <c r="A422" s="3">
        <v>46048.4677100463</v>
      </c>
      <c r="B422" s="5" t="s">
        <v>1798</v>
      </c>
      <c r="C422" s="5" t="s">
        <v>1799</v>
      </c>
      <c r="D422" s="4" t="s">
        <v>1800</v>
      </c>
      <c r="E422" s="5" t="s">
        <v>1617</v>
      </c>
      <c r="F422" s="5" t="s">
        <v>20</v>
      </c>
      <c r="G422" s="5" t="s">
        <v>1801</v>
      </c>
      <c r="H422" s="5" t="s">
        <v>51</v>
      </c>
      <c r="I422" s="5" t="s">
        <v>23</v>
      </c>
      <c r="J422" s="5" t="s">
        <v>24</v>
      </c>
      <c r="K422" s="6" t="str">
        <f t="shared" si="1"/>
        <v>085385544868</v>
      </c>
      <c r="L422" s="6" t="str">
        <f>IFERROR(
VLOOKUP(
TRIM(
IF(ISNUMBER(FIND(",",E422)),
LEFT(E422,FIND(",",E422)-1),
E422
)
),
master!A:B,
2,
FALSE
),
"Belum ada mapping"
)
</f>
        <v>Jakarta</v>
      </c>
      <c r="M422" s="6">
        <f>IFERROR(__xludf.DUMMYFUNCTION("IF(REGEXMATCH(I422,""Cari Kerja""),1,0)
"),1.0)</f>
        <v>1</v>
      </c>
      <c r="N422" s="6">
        <f>IFERROR(__xludf.DUMMYFUNCTION("IF(REGEXMATCH(I422,""Upskill""),1,0)
"),1.0)</f>
        <v>1</v>
      </c>
      <c r="O422" s="6">
        <f>IFERROR(__xludf.DUMMYFUNCTION("IF(REGEXMATCH(I422,""Networking""),1,0)
"),1.0)</f>
        <v>1</v>
      </c>
      <c r="P422" s="6">
        <f>IFERROR(__xludf.DUMMYFUNCTION("IF(REGEXMATCH(I422,""Switch Career""),1,0)
"),0.0)</f>
        <v>0</v>
      </c>
    </row>
    <row r="423" ht="22.5" customHeight="1">
      <c r="A423" s="3">
        <v>46046.38534125</v>
      </c>
      <c r="B423" s="5" t="s">
        <v>1802</v>
      </c>
      <c r="C423" s="5" t="s">
        <v>1803</v>
      </c>
      <c r="D423" s="4" t="s">
        <v>1804</v>
      </c>
      <c r="E423" s="5" t="s">
        <v>158</v>
      </c>
      <c r="F423" s="5" t="s">
        <v>49</v>
      </c>
      <c r="G423" s="5" t="s">
        <v>69</v>
      </c>
      <c r="H423" s="5" t="s">
        <v>51</v>
      </c>
      <c r="I423" s="5" t="s">
        <v>23</v>
      </c>
      <c r="J423" s="5" t="s">
        <v>24</v>
      </c>
      <c r="K423" s="6" t="str">
        <f t="shared" si="1"/>
        <v>085645235109</v>
      </c>
      <c r="L423" s="6" t="str">
        <f>IFERROR(
VLOOKUP(
TRIM(
IF(ISNUMBER(FIND(",",E423)),
LEFT(E423,FIND(",",E423)-1),
E423
)
),
master!A:B,
2,
FALSE
),
"Belum ada mapping"
)
</f>
        <v>Jawa Barat</v>
      </c>
      <c r="M423" s="6">
        <f>IFERROR(__xludf.DUMMYFUNCTION("IF(REGEXMATCH(I423,""Cari Kerja""),1,0)
"),1.0)</f>
        <v>1</v>
      </c>
      <c r="N423" s="6">
        <f>IFERROR(__xludf.DUMMYFUNCTION("IF(REGEXMATCH(I423,""Upskill""),1,0)
"),1.0)</f>
        <v>1</v>
      </c>
      <c r="O423" s="6">
        <f>IFERROR(__xludf.DUMMYFUNCTION("IF(REGEXMATCH(I423,""Networking""),1,0)
"),1.0)</f>
        <v>1</v>
      </c>
      <c r="P423" s="6">
        <f>IFERROR(__xludf.DUMMYFUNCTION("IF(REGEXMATCH(I423,""Switch Career""),1,0)
"),0.0)</f>
        <v>0</v>
      </c>
    </row>
    <row r="424" ht="22.5" customHeight="1">
      <c r="A424" s="3">
        <v>46042.30354133101</v>
      </c>
      <c r="B424" s="5" t="s">
        <v>1805</v>
      </c>
      <c r="C424" s="5" t="s">
        <v>1806</v>
      </c>
      <c r="D424" s="4" t="s">
        <v>1807</v>
      </c>
      <c r="E424" s="5" t="s">
        <v>1808</v>
      </c>
      <c r="F424" s="5" t="s">
        <v>49</v>
      </c>
      <c r="G424" s="5" t="s">
        <v>1809</v>
      </c>
      <c r="H424" s="5" t="s">
        <v>391</v>
      </c>
      <c r="I424" s="5" t="s">
        <v>59</v>
      </c>
      <c r="J424" s="5" t="s">
        <v>24</v>
      </c>
      <c r="K424" s="6" t="str">
        <f t="shared" si="1"/>
        <v>085348475129</v>
      </c>
      <c r="L424" s="6" t="str">
        <f>IFERROR(
VLOOKUP(
TRIM(
IF(ISNUMBER(FIND(",",E424)),
LEFT(E424,FIND(",",E424)-1),
E424
)
),
master!A:B,
2,
FALSE
),
"Belum ada mapping"
)
</f>
        <v>Kalimantan Selatan</v>
      </c>
      <c r="M424" s="6">
        <f>IFERROR(__xludf.DUMMYFUNCTION("IF(REGEXMATCH(I424,""Cari Kerja""),1,0)
"),0.0)</f>
        <v>0</v>
      </c>
      <c r="N424" s="6">
        <f>IFERROR(__xludf.DUMMYFUNCTION("IF(REGEXMATCH(I424,""Upskill""),1,0)
"),1.0)</f>
        <v>1</v>
      </c>
      <c r="O424" s="6">
        <f>IFERROR(__xludf.DUMMYFUNCTION("IF(REGEXMATCH(I424,""Networking""),1,0)
"),1.0)</f>
        <v>1</v>
      </c>
      <c r="P424" s="6">
        <f>IFERROR(__xludf.DUMMYFUNCTION("IF(REGEXMATCH(I424,""Switch Career""),1,0)
"),0.0)</f>
        <v>0</v>
      </c>
    </row>
    <row r="425" ht="22.5" customHeight="1">
      <c r="A425" s="3">
        <v>46049.03026108796</v>
      </c>
      <c r="B425" s="5" t="s">
        <v>1810</v>
      </c>
      <c r="C425" s="5" t="s">
        <v>1811</v>
      </c>
      <c r="D425" s="4" t="s">
        <v>1812</v>
      </c>
      <c r="E425" s="5" t="s">
        <v>364</v>
      </c>
      <c r="F425" s="5" t="s">
        <v>20</v>
      </c>
      <c r="G425" s="5" t="s">
        <v>1813</v>
      </c>
      <c r="H425" s="5" t="s">
        <v>30</v>
      </c>
      <c r="I425" s="5" t="s">
        <v>235</v>
      </c>
      <c r="J425" s="5" t="s">
        <v>24</v>
      </c>
      <c r="K425" s="6" t="str">
        <f t="shared" si="1"/>
        <v>085156600744</v>
      </c>
      <c r="L425" s="6" t="str">
        <f>IFERROR(
VLOOKUP(
TRIM(
IF(ISNUMBER(FIND(",",E425)),
LEFT(E425,FIND(",",E425)-1),
E425
)
),
master!A:B,
2,
FALSE
),
"Belum ada mapping"
)
</f>
        <v>Jakarta</v>
      </c>
      <c r="M425" s="6">
        <f>IFERROR(__xludf.DUMMYFUNCTION("IF(REGEXMATCH(I425,""Cari Kerja""),1,0)
"),1.0)</f>
        <v>1</v>
      </c>
      <c r="N425" s="6">
        <f>IFERROR(__xludf.DUMMYFUNCTION("IF(REGEXMATCH(I425,""Upskill""),1,0)
"),1.0)</f>
        <v>1</v>
      </c>
      <c r="O425" s="6">
        <f>IFERROR(__xludf.DUMMYFUNCTION("IF(REGEXMATCH(I425,""Networking""),1,0)
"),0.0)</f>
        <v>0</v>
      </c>
      <c r="P425" s="6">
        <f>IFERROR(__xludf.DUMMYFUNCTION("IF(REGEXMATCH(I425,""Switch Career""),1,0)
"),1.0)</f>
        <v>1</v>
      </c>
    </row>
    <row r="426" ht="22.5" customHeight="1">
      <c r="A426" s="3">
        <v>46042.450462465276</v>
      </c>
      <c r="B426" s="5" t="s">
        <v>1814</v>
      </c>
      <c r="C426" s="5" t="s">
        <v>1815</v>
      </c>
      <c r="D426" s="4" t="s">
        <v>1816</v>
      </c>
      <c r="E426" s="5" t="s">
        <v>92</v>
      </c>
      <c r="F426" s="5" t="s">
        <v>49</v>
      </c>
      <c r="G426" s="5" t="s">
        <v>1817</v>
      </c>
      <c r="H426" s="5" t="s">
        <v>1818</v>
      </c>
      <c r="I426" s="5" t="s">
        <v>23</v>
      </c>
      <c r="J426" s="5" t="s">
        <v>24</v>
      </c>
      <c r="K426" s="6" t="str">
        <f t="shared" si="1"/>
        <v>082288334096</v>
      </c>
      <c r="L426" s="6" t="str">
        <f>IFERROR(
VLOOKUP(
TRIM(
IF(ISNUMBER(FIND(",",E426)),
LEFT(E426,FIND(",",E426)-1),
E426
)
),
master!A:B,
2,
FALSE
),
"Belum ada mapping"
)
</f>
        <v>Jawa Barat</v>
      </c>
      <c r="M426" s="6">
        <f>IFERROR(__xludf.DUMMYFUNCTION("IF(REGEXMATCH(I426,""Cari Kerja""),1,0)
"),1.0)</f>
        <v>1</v>
      </c>
      <c r="N426" s="6">
        <f>IFERROR(__xludf.DUMMYFUNCTION("IF(REGEXMATCH(I426,""Upskill""),1,0)
"),1.0)</f>
        <v>1</v>
      </c>
      <c r="O426" s="6">
        <f>IFERROR(__xludf.DUMMYFUNCTION("IF(REGEXMATCH(I426,""Networking""),1,0)
"),1.0)</f>
        <v>1</v>
      </c>
      <c r="P426" s="6">
        <f>IFERROR(__xludf.DUMMYFUNCTION("IF(REGEXMATCH(I426,""Switch Career""),1,0)
"),0.0)</f>
        <v>0</v>
      </c>
    </row>
    <row r="427" ht="22.5" customHeight="1">
      <c r="A427" s="3">
        <v>46121.93200153935</v>
      </c>
      <c r="B427" s="5" t="s">
        <v>1814</v>
      </c>
      <c r="C427" s="5" t="s">
        <v>1819</v>
      </c>
      <c r="D427" s="4" t="s">
        <v>1816</v>
      </c>
      <c r="E427" s="5" t="s">
        <v>1820</v>
      </c>
      <c r="F427" s="5" t="s">
        <v>49</v>
      </c>
      <c r="G427" s="5" t="s">
        <v>1821</v>
      </c>
      <c r="H427" s="5" t="s">
        <v>51</v>
      </c>
      <c r="I427" s="5" t="s">
        <v>130</v>
      </c>
      <c r="J427" s="5" t="s">
        <v>38</v>
      </c>
      <c r="K427" s="10" t="str">
        <f t="shared" si="1"/>
        <v>082288334096</v>
      </c>
      <c r="L427" s="10" t="str">
        <f>IFERROR(
VLOOKUP(
TRIM(
IF(ISNUMBER(FIND(",",E427)),
LEFT(E427,FIND(",",E427)-1),
E427
)
),
master!A:B,
2,
FALSE
),
"Belum ada mapping"
)
</f>
        <v>Jawa Barat</v>
      </c>
      <c r="M427" s="10">
        <f>IFERROR(__xludf.DUMMYFUNCTION("IF(REGEXMATCH(I427,""Cari Kerja""),1,0)
"),1.0)</f>
        <v>1</v>
      </c>
      <c r="N427" s="10">
        <f>IFERROR(__xludf.DUMMYFUNCTION("IF(REGEXMATCH(I427,""Upskill""),1,0)
"),1.0)</f>
        <v>1</v>
      </c>
      <c r="O427" s="10">
        <f>IFERROR(__xludf.DUMMYFUNCTION("IF(REGEXMATCH(I427,""Networking""),1,0)
"),0.0)</f>
        <v>0</v>
      </c>
      <c r="P427" s="10">
        <f>IFERROR(__xludf.DUMMYFUNCTION("IF(REGEXMATCH(I427,""Switch Career""),1,0)
"),0.0)</f>
        <v>0</v>
      </c>
    </row>
    <row r="428" ht="22.5" customHeight="1">
      <c r="A428" s="7">
        <v>46040.356252349535</v>
      </c>
      <c r="B428" s="8" t="s">
        <v>1822</v>
      </c>
      <c r="C428" s="8" t="s">
        <v>1823</v>
      </c>
      <c r="D428" s="9" t="s">
        <v>1824</v>
      </c>
      <c r="E428" s="8" t="s">
        <v>1825</v>
      </c>
      <c r="F428" s="8" t="s">
        <v>20</v>
      </c>
      <c r="G428" s="8" t="s">
        <v>21</v>
      </c>
      <c r="H428" s="8" t="s">
        <v>37</v>
      </c>
      <c r="I428" s="8" t="s">
        <v>31</v>
      </c>
      <c r="J428" s="8" t="s">
        <v>24</v>
      </c>
      <c r="K428" s="6" t="str">
        <f t="shared" si="1"/>
        <v>089602816543</v>
      </c>
      <c r="L428" s="6" t="str">
        <f>IFERROR(
VLOOKUP(
TRIM(
IF(ISNUMBER(FIND(",",E428)),
LEFT(E428,FIND(",",E428)-1),
E428
)
),
master!A:B,
2,
FALSE
),
"Belum ada mapping"
)
</f>
        <v>Banten</v>
      </c>
      <c r="M428" s="6">
        <f>IFERROR(__xludf.DUMMYFUNCTION("IF(REGEXMATCH(I428,""Cari Kerja""),1,0)
"),1.0)</f>
        <v>1</v>
      </c>
      <c r="N428" s="6">
        <f>IFERROR(__xludf.DUMMYFUNCTION("IF(REGEXMATCH(I428,""Upskill""),1,0)
"),1.0)</f>
        <v>1</v>
      </c>
      <c r="O428" s="6">
        <f>IFERROR(__xludf.DUMMYFUNCTION("IF(REGEXMATCH(I428,""Networking""),1,0)
"),1.0)</f>
        <v>1</v>
      </c>
      <c r="P428" s="6">
        <f>IFERROR(__xludf.DUMMYFUNCTION("IF(REGEXMATCH(I428,""Switch Career""),1,0)
"),1.0)</f>
        <v>1</v>
      </c>
    </row>
    <row r="429" ht="22.5" customHeight="1">
      <c r="A429" s="3">
        <v>46046.396536203705</v>
      </c>
      <c r="B429" s="5" t="s">
        <v>1826</v>
      </c>
      <c r="C429" s="5" t="s">
        <v>1823</v>
      </c>
      <c r="D429" s="4" t="s">
        <v>1827</v>
      </c>
      <c r="E429" s="5" t="s">
        <v>74</v>
      </c>
      <c r="F429" s="5" t="s">
        <v>20</v>
      </c>
      <c r="G429" s="5" t="s">
        <v>21</v>
      </c>
      <c r="H429" s="5" t="s">
        <v>1680</v>
      </c>
      <c r="I429" s="5" t="s">
        <v>23</v>
      </c>
      <c r="J429" s="5" t="s">
        <v>24</v>
      </c>
      <c r="K429" s="6" t="str">
        <f t="shared" si="1"/>
        <v>089692816543</v>
      </c>
      <c r="L429" s="6" t="str">
        <f>IFERROR(
VLOOKUP(
TRIM(
IF(ISNUMBER(FIND(",",E429)),
LEFT(E429,FIND(",",E429)-1),
E429
)
),
master!A:B,
2,
FALSE
),
"Belum ada mapping"
)
</f>
        <v>Banten</v>
      </c>
      <c r="M429" s="6">
        <f>IFERROR(__xludf.DUMMYFUNCTION("IF(REGEXMATCH(I429,""Cari Kerja""),1,0)
"),1.0)</f>
        <v>1</v>
      </c>
      <c r="N429" s="6">
        <f>IFERROR(__xludf.DUMMYFUNCTION("IF(REGEXMATCH(I429,""Upskill""),1,0)
"),1.0)</f>
        <v>1</v>
      </c>
      <c r="O429" s="6">
        <f>IFERROR(__xludf.DUMMYFUNCTION("IF(REGEXMATCH(I429,""Networking""),1,0)
"),1.0)</f>
        <v>1</v>
      </c>
      <c r="P429" s="6">
        <f>IFERROR(__xludf.DUMMYFUNCTION("IF(REGEXMATCH(I429,""Switch Career""),1,0)
"),0.0)</f>
        <v>0</v>
      </c>
    </row>
    <row r="430" ht="22.5" customHeight="1">
      <c r="A430" s="3">
        <v>46042.33132917824</v>
      </c>
      <c r="B430" s="5" t="s">
        <v>1828</v>
      </c>
      <c r="C430" s="5" t="s">
        <v>1829</v>
      </c>
      <c r="D430" s="4" t="s">
        <v>1830</v>
      </c>
      <c r="E430" s="5" t="s">
        <v>1831</v>
      </c>
      <c r="F430" s="5" t="s">
        <v>49</v>
      </c>
      <c r="G430" s="5" t="s">
        <v>1832</v>
      </c>
      <c r="H430" s="5" t="s">
        <v>1833</v>
      </c>
      <c r="I430" s="5" t="s">
        <v>31</v>
      </c>
      <c r="J430" s="5" t="s">
        <v>24</v>
      </c>
      <c r="K430" s="6" t="str">
        <f t="shared" si="1"/>
        <v>087874156220</v>
      </c>
      <c r="L430" s="6" t="str">
        <f>IFERROR(
VLOOKUP(
TRIM(
IF(ISNUMBER(FIND(",",E430)),
LEFT(E430,FIND(",",E430)-1),
E430
)
),
master!A:B,
2,
FALSE
),
"Belum ada mapping"
)
</f>
        <v>Banten</v>
      </c>
      <c r="M430" s="6">
        <f>IFERROR(__xludf.DUMMYFUNCTION("IF(REGEXMATCH(I430,""Cari Kerja""),1,0)
"),1.0)</f>
        <v>1</v>
      </c>
      <c r="N430" s="6">
        <f>IFERROR(__xludf.DUMMYFUNCTION("IF(REGEXMATCH(I430,""Upskill""),1,0)
"),1.0)</f>
        <v>1</v>
      </c>
      <c r="O430" s="6">
        <f>IFERROR(__xludf.DUMMYFUNCTION("IF(REGEXMATCH(I430,""Networking""),1,0)
"),1.0)</f>
        <v>1</v>
      </c>
      <c r="P430" s="6">
        <f>IFERROR(__xludf.DUMMYFUNCTION("IF(REGEXMATCH(I430,""Switch Career""),1,0)
"),1.0)</f>
        <v>1</v>
      </c>
    </row>
    <row r="431" ht="22.5" customHeight="1">
      <c r="A431" s="3">
        <v>46051.61820856482</v>
      </c>
      <c r="B431" s="5" t="s">
        <v>1834</v>
      </c>
      <c r="C431" s="5" t="s">
        <v>1835</v>
      </c>
      <c r="D431" s="4" t="s">
        <v>1836</v>
      </c>
      <c r="E431" s="5" t="s">
        <v>1837</v>
      </c>
      <c r="F431" s="5" t="s">
        <v>20</v>
      </c>
      <c r="G431" s="5" t="s">
        <v>69</v>
      </c>
      <c r="H431" s="5" t="s">
        <v>1838</v>
      </c>
      <c r="I431" s="5" t="s">
        <v>23</v>
      </c>
      <c r="J431" s="5" t="s">
        <v>24</v>
      </c>
      <c r="K431" s="10" t="str">
        <f t="shared" si="1"/>
        <v>087713135232</v>
      </c>
      <c r="L431" s="10" t="str">
        <f>IFERROR(
VLOOKUP(
TRIM(
IF(ISNUMBER(FIND(",",E431)),
LEFT(E431,FIND(",",E431)-1),
E431
)
),
master!A:B,
2,
FALSE
),
"Belum ada mapping"
)
</f>
        <v>DI Yogyakarta</v>
      </c>
      <c r="M431" s="10">
        <f>IFERROR(__xludf.DUMMYFUNCTION("IF(REGEXMATCH(I431,""Cari Kerja""),1,0)
"),1.0)</f>
        <v>1</v>
      </c>
      <c r="N431" s="10">
        <f>IFERROR(__xludf.DUMMYFUNCTION("IF(REGEXMATCH(I431,""Upskill""),1,0)
"),1.0)</f>
        <v>1</v>
      </c>
      <c r="O431" s="10">
        <f>IFERROR(__xludf.DUMMYFUNCTION("IF(REGEXMATCH(I431,""Networking""),1,0)
"),1.0)</f>
        <v>1</v>
      </c>
      <c r="P431" s="10">
        <f>IFERROR(__xludf.DUMMYFUNCTION("IF(REGEXMATCH(I431,""Switch Career""),1,0)
"),0.0)</f>
        <v>0</v>
      </c>
    </row>
    <row r="432" ht="22.5" customHeight="1">
      <c r="A432" s="3">
        <v>46046.72029704861</v>
      </c>
      <c r="B432" s="5" t="s">
        <v>1839</v>
      </c>
      <c r="C432" s="5" t="s">
        <v>1840</v>
      </c>
      <c r="D432" s="4" t="s">
        <v>1841</v>
      </c>
      <c r="E432" s="5" t="s">
        <v>1842</v>
      </c>
      <c r="F432" s="5" t="s">
        <v>49</v>
      </c>
      <c r="G432" s="5" t="s">
        <v>1773</v>
      </c>
      <c r="H432" s="5" t="s">
        <v>51</v>
      </c>
      <c r="I432" s="5" t="s">
        <v>31</v>
      </c>
      <c r="J432" s="5" t="s">
        <v>24</v>
      </c>
      <c r="K432" s="6" t="str">
        <f t="shared" si="1"/>
        <v>08117529861</v>
      </c>
      <c r="L432" s="6" t="str">
        <f>IFERROR(
VLOOKUP(
TRIM(
IF(ISNUMBER(FIND(",",E432)),
LEFT(E432,FIND(",",E432)-1),
E432
)
),
master!A:B,
2,
FALSE
),
"Belum ada mapping"
)
</f>
        <v>Riau</v>
      </c>
      <c r="M432" s="6">
        <f>IFERROR(__xludf.DUMMYFUNCTION("IF(REGEXMATCH(I432,""Cari Kerja""),1,0)
"),1.0)</f>
        <v>1</v>
      </c>
      <c r="N432" s="6">
        <f>IFERROR(__xludf.DUMMYFUNCTION("IF(REGEXMATCH(I432,""Upskill""),1,0)
"),1.0)</f>
        <v>1</v>
      </c>
      <c r="O432" s="6">
        <f>IFERROR(__xludf.DUMMYFUNCTION("IF(REGEXMATCH(I432,""Networking""),1,0)
"),1.0)</f>
        <v>1</v>
      </c>
      <c r="P432" s="6">
        <f>IFERROR(__xludf.DUMMYFUNCTION("IF(REGEXMATCH(I432,""Switch Career""),1,0)
"),1.0)</f>
        <v>1</v>
      </c>
    </row>
    <row r="433" ht="22.5" customHeight="1">
      <c r="A433" s="7">
        <v>46040.3560349537</v>
      </c>
      <c r="B433" s="8" t="s">
        <v>1843</v>
      </c>
      <c r="C433" s="8" t="s">
        <v>1844</v>
      </c>
      <c r="D433" s="9" t="s">
        <v>1845</v>
      </c>
      <c r="E433" s="8" t="s">
        <v>42</v>
      </c>
      <c r="F433" s="8" t="s">
        <v>49</v>
      </c>
      <c r="G433" s="8" t="s">
        <v>1846</v>
      </c>
      <c r="H433" s="8" t="s">
        <v>51</v>
      </c>
      <c r="I433" s="8" t="s">
        <v>12</v>
      </c>
      <c r="J433" s="8" t="s">
        <v>24</v>
      </c>
      <c r="K433" s="6" t="str">
        <f t="shared" si="1"/>
        <v>0895358594480</v>
      </c>
      <c r="L433" s="6" t="str">
        <f>IFERROR(
VLOOKUP(
TRIM(
IF(ISNUMBER(FIND(",",E433)),
LEFT(E433,FIND(",",E433)-1),
E433
)
),
master!A:B,
2,
FALSE
),
"Belum ada mapping"
)
</f>
        <v>Jawa Barat</v>
      </c>
      <c r="M433" s="6">
        <f>IFERROR(__xludf.DUMMYFUNCTION("IF(REGEXMATCH(I433,""Cari Kerja""),1,0)
"),1.0)</f>
        <v>1</v>
      </c>
      <c r="N433" s="6">
        <f>IFERROR(__xludf.DUMMYFUNCTION("IF(REGEXMATCH(I433,""Upskill""),1,0)
"),0.0)</f>
        <v>0</v>
      </c>
      <c r="O433" s="6">
        <f>IFERROR(__xludf.DUMMYFUNCTION("IF(REGEXMATCH(I433,""Networking""),1,0)
"),0.0)</f>
        <v>0</v>
      </c>
      <c r="P433" s="6">
        <f>IFERROR(__xludf.DUMMYFUNCTION("IF(REGEXMATCH(I433,""Switch Career""),1,0)
"),0.0)</f>
        <v>0</v>
      </c>
    </row>
    <row r="434" ht="22.5" customHeight="1">
      <c r="A434" s="3">
        <v>46046.53909153935</v>
      </c>
      <c r="B434" s="5" t="s">
        <v>1847</v>
      </c>
      <c r="C434" s="5" t="s">
        <v>1848</v>
      </c>
      <c r="D434" s="4" t="s">
        <v>1849</v>
      </c>
      <c r="E434" s="5" t="s">
        <v>42</v>
      </c>
      <c r="F434" s="5" t="s">
        <v>49</v>
      </c>
      <c r="G434" s="5" t="s">
        <v>1850</v>
      </c>
      <c r="H434" s="5" t="s">
        <v>1851</v>
      </c>
      <c r="I434" s="5" t="s">
        <v>31</v>
      </c>
      <c r="J434" s="5" t="s">
        <v>24</v>
      </c>
      <c r="K434" s="6" t="str">
        <f t="shared" si="1"/>
        <v>085159339893</v>
      </c>
      <c r="L434" s="6" t="str">
        <f>IFERROR(
VLOOKUP(
TRIM(
IF(ISNUMBER(FIND(",",E434)),
LEFT(E434,FIND(",",E434)-1),
E434
)
),
master!A:B,
2,
FALSE
),
"Belum ada mapping"
)
</f>
        <v>Jawa Barat</v>
      </c>
      <c r="M434" s="6">
        <f>IFERROR(__xludf.DUMMYFUNCTION("IF(REGEXMATCH(I434,""Cari Kerja""),1,0)
"),1.0)</f>
        <v>1</v>
      </c>
      <c r="N434" s="6">
        <f>IFERROR(__xludf.DUMMYFUNCTION("IF(REGEXMATCH(I434,""Upskill""),1,0)
"),1.0)</f>
        <v>1</v>
      </c>
      <c r="O434" s="6">
        <f>IFERROR(__xludf.DUMMYFUNCTION("IF(REGEXMATCH(I434,""Networking""),1,0)
"),1.0)</f>
        <v>1</v>
      </c>
      <c r="P434" s="6">
        <f>IFERROR(__xludf.DUMMYFUNCTION("IF(REGEXMATCH(I434,""Switch Career""),1,0)
"),1.0)</f>
        <v>1</v>
      </c>
    </row>
    <row r="435" ht="22.5" customHeight="1">
      <c r="A435" s="3">
        <v>46042.403749386576</v>
      </c>
      <c r="B435" s="5" t="s">
        <v>1852</v>
      </c>
      <c r="C435" s="5" t="s">
        <v>1853</v>
      </c>
      <c r="D435" s="4" t="s">
        <v>1854</v>
      </c>
      <c r="E435" s="5" t="s">
        <v>364</v>
      </c>
      <c r="F435" s="5" t="s">
        <v>20</v>
      </c>
      <c r="G435" s="5" t="s">
        <v>1855</v>
      </c>
      <c r="H435" s="5" t="s">
        <v>93</v>
      </c>
      <c r="I435" s="5" t="s">
        <v>59</v>
      </c>
      <c r="J435" s="5" t="s">
        <v>24</v>
      </c>
      <c r="K435" s="6" t="str">
        <f t="shared" si="1"/>
        <v>088217738590</v>
      </c>
      <c r="L435" s="6" t="str">
        <f>IFERROR(
VLOOKUP(
TRIM(
IF(ISNUMBER(FIND(",",E435)),
LEFT(E435,FIND(",",E435)-1),
E435
)
),
master!A:B,
2,
FALSE
),
"Belum ada mapping"
)
</f>
        <v>Jakarta</v>
      </c>
      <c r="M435" s="6">
        <f>IFERROR(__xludf.DUMMYFUNCTION("IF(REGEXMATCH(I435,""Cari Kerja""),1,0)
"),0.0)</f>
        <v>0</v>
      </c>
      <c r="N435" s="6">
        <f>IFERROR(__xludf.DUMMYFUNCTION("IF(REGEXMATCH(I435,""Upskill""),1,0)
"),1.0)</f>
        <v>1</v>
      </c>
      <c r="O435" s="6">
        <f>IFERROR(__xludf.DUMMYFUNCTION("IF(REGEXMATCH(I435,""Networking""),1,0)
"),1.0)</f>
        <v>1</v>
      </c>
      <c r="P435" s="6">
        <f>IFERROR(__xludf.DUMMYFUNCTION("IF(REGEXMATCH(I435,""Switch Career""),1,0)
"),0.0)</f>
        <v>0</v>
      </c>
    </row>
    <row r="436" ht="22.5" customHeight="1">
      <c r="A436" s="3">
        <v>46044.52144596065</v>
      </c>
      <c r="B436" s="5" t="s">
        <v>1856</v>
      </c>
      <c r="C436" s="5" t="s">
        <v>1857</v>
      </c>
      <c r="D436" s="4" t="s">
        <v>1858</v>
      </c>
      <c r="E436" s="5" t="s">
        <v>484</v>
      </c>
      <c r="F436" s="5" t="s">
        <v>20</v>
      </c>
      <c r="G436" s="5" t="s">
        <v>1859</v>
      </c>
      <c r="H436" s="5" t="s">
        <v>278</v>
      </c>
      <c r="I436" s="5" t="s">
        <v>59</v>
      </c>
      <c r="J436" s="5" t="s">
        <v>24</v>
      </c>
      <c r="K436" s="6" t="str">
        <f t="shared" si="1"/>
        <v>087880126241</v>
      </c>
      <c r="L436" s="6" t="str">
        <f>IFERROR(
VLOOKUP(
TRIM(
IF(ISNUMBER(FIND(",",E436)),
LEFT(E436,FIND(",",E436)-1),
E436
)
),
master!A:B,
2,
FALSE
),
"Belum ada mapping"
)
</f>
        <v>Jawa Tengah</v>
      </c>
      <c r="M436" s="6">
        <f>IFERROR(__xludf.DUMMYFUNCTION("IF(REGEXMATCH(I436,""Cari Kerja""),1,0)
"),0.0)</f>
        <v>0</v>
      </c>
      <c r="N436" s="6">
        <f>IFERROR(__xludf.DUMMYFUNCTION("IF(REGEXMATCH(I436,""Upskill""),1,0)
"),1.0)</f>
        <v>1</v>
      </c>
      <c r="O436" s="6">
        <f>IFERROR(__xludf.DUMMYFUNCTION("IF(REGEXMATCH(I436,""Networking""),1,0)
"),1.0)</f>
        <v>1</v>
      </c>
      <c r="P436" s="6">
        <f>IFERROR(__xludf.DUMMYFUNCTION("IF(REGEXMATCH(I436,""Switch Career""),1,0)
"),0.0)</f>
        <v>0</v>
      </c>
    </row>
    <row r="437" ht="22.5" customHeight="1">
      <c r="A437" s="3">
        <v>46043.42616822917</v>
      </c>
      <c r="B437" s="5" t="s">
        <v>1860</v>
      </c>
      <c r="C437" s="5" t="s">
        <v>1861</v>
      </c>
      <c r="D437" s="4" t="s">
        <v>1862</v>
      </c>
      <c r="E437" s="5" t="s">
        <v>575</v>
      </c>
      <c r="F437" s="5" t="s">
        <v>49</v>
      </c>
      <c r="G437" s="5" t="s">
        <v>369</v>
      </c>
      <c r="H437" s="5" t="s">
        <v>1863</v>
      </c>
      <c r="I437" s="5" t="s">
        <v>59</v>
      </c>
      <c r="J437" s="5" t="s">
        <v>24</v>
      </c>
      <c r="K437" s="6" t="str">
        <f t="shared" si="1"/>
        <v>081229699160</v>
      </c>
      <c r="L437" s="6" t="str">
        <f>IFERROR(
VLOOKUP(
TRIM(
IF(ISNUMBER(FIND(",",E437)),
LEFT(E437,FIND(",",E437)-1),
E437
)
),
master!A:B,
2,
FALSE
),
"Belum ada mapping"
)
</f>
        <v>Jawa Tengah</v>
      </c>
      <c r="M437" s="6">
        <f>IFERROR(__xludf.DUMMYFUNCTION("IF(REGEXMATCH(I437,""Cari Kerja""),1,0)
"),0.0)</f>
        <v>0</v>
      </c>
      <c r="N437" s="6">
        <f>IFERROR(__xludf.DUMMYFUNCTION("IF(REGEXMATCH(I437,""Upskill""),1,0)
"),1.0)</f>
        <v>1</v>
      </c>
      <c r="O437" s="6">
        <f>IFERROR(__xludf.DUMMYFUNCTION("IF(REGEXMATCH(I437,""Networking""),1,0)
"),1.0)</f>
        <v>1</v>
      </c>
      <c r="P437" s="6">
        <f>IFERROR(__xludf.DUMMYFUNCTION("IF(REGEXMATCH(I437,""Switch Career""),1,0)
"),0.0)</f>
        <v>0</v>
      </c>
    </row>
    <row r="438" ht="22.5" customHeight="1">
      <c r="A438" s="3">
        <v>46144.93510224537</v>
      </c>
      <c r="B438" s="5" t="s">
        <v>1864</v>
      </c>
      <c r="C438" s="5" t="s">
        <v>1865</v>
      </c>
      <c r="D438" s="4" t="s">
        <v>1866</v>
      </c>
      <c r="E438" s="5" t="s">
        <v>74</v>
      </c>
      <c r="F438" s="5" t="s">
        <v>20</v>
      </c>
      <c r="G438" s="5" t="s">
        <v>149</v>
      </c>
      <c r="H438" s="5" t="s">
        <v>1867</v>
      </c>
      <c r="I438" s="5" t="s">
        <v>31</v>
      </c>
      <c r="J438" s="5" t="s">
        <v>24</v>
      </c>
      <c r="K438" s="10" t="str">
        <f t="shared" si="1"/>
        <v>085693118194</v>
      </c>
      <c r="L438" s="10" t="str">
        <f>IFERROR(
VLOOKUP(
TRIM(
IF(ISNUMBER(FIND(",",E438)),
LEFT(E438,FIND(",",E438)-1),
E438
)
),
master!A:B,
2,
FALSE
),
"Belum ada mapping"
)
</f>
        <v>Banten</v>
      </c>
      <c r="M438" s="10">
        <f>IFERROR(__xludf.DUMMYFUNCTION("IF(REGEXMATCH(I438,""Cari Kerja""),1,0)
"),1.0)</f>
        <v>1</v>
      </c>
      <c r="N438" s="10">
        <f>IFERROR(__xludf.DUMMYFUNCTION("IF(REGEXMATCH(I438,""Upskill""),1,0)
"),1.0)</f>
        <v>1</v>
      </c>
      <c r="O438" s="10">
        <f>IFERROR(__xludf.DUMMYFUNCTION("IF(REGEXMATCH(I438,""Networking""),1,0)
"),1.0)</f>
        <v>1</v>
      </c>
      <c r="P438" s="10">
        <f>IFERROR(__xludf.DUMMYFUNCTION("IF(REGEXMATCH(I438,""Switch Career""),1,0)
"),1.0)</f>
        <v>1</v>
      </c>
    </row>
    <row r="439" ht="22.5" customHeight="1">
      <c r="A439" s="3">
        <v>46042.36058652778</v>
      </c>
      <c r="B439" s="5" t="s">
        <v>1868</v>
      </c>
      <c r="C439" s="5" t="s">
        <v>1869</v>
      </c>
      <c r="D439" s="4" t="s">
        <v>1870</v>
      </c>
      <c r="E439" s="5" t="s">
        <v>1151</v>
      </c>
      <c r="F439" s="5" t="s">
        <v>20</v>
      </c>
      <c r="G439" s="5" t="s">
        <v>1871</v>
      </c>
      <c r="H439" s="5" t="s">
        <v>51</v>
      </c>
      <c r="I439" s="5" t="s">
        <v>23</v>
      </c>
      <c r="J439" s="5" t="s">
        <v>24</v>
      </c>
      <c r="K439" s="6" t="str">
        <f t="shared" si="1"/>
        <v>085213826640</v>
      </c>
      <c r="L439" s="6" t="str">
        <f>IFERROR(
VLOOKUP(
TRIM(
IF(ISNUMBER(FIND(",",E439)),
LEFT(E439,FIND(",",E439)-1),
E439
)
),
master!A:B,
2,
FALSE
),
"Belum ada mapping"
)
</f>
        <v>Jawa Barat</v>
      </c>
      <c r="M439" s="6">
        <f>IFERROR(__xludf.DUMMYFUNCTION("IF(REGEXMATCH(I439,""Cari Kerja""),1,0)
"),1.0)</f>
        <v>1</v>
      </c>
      <c r="N439" s="6">
        <f>IFERROR(__xludf.DUMMYFUNCTION("IF(REGEXMATCH(I439,""Upskill""),1,0)
"),1.0)</f>
        <v>1</v>
      </c>
      <c r="O439" s="6">
        <f>IFERROR(__xludf.DUMMYFUNCTION("IF(REGEXMATCH(I439,""Networking""),1,0)
"),1.0)</f>
        <v>1</v>
      </c>
      <c r="P439" s="6">
        <f>IFERROR(__xludf.DUMMYFUNCTION("IF(REGEXMATCH(I439,""Switch Career""),1,0)
"),0.0)</f>
        <v>0</v>
      </c>
    </row>
    <row r="440" ht="22.5" customHeight="1">
      <c r="A440" s="3">
        <v>46042.416407627315</v>
      </c>
      <c r="B440" s="5" t="s">
        <v>1872</v>
      </c>
      <c r="C440" s="5" t="s">
        <v>1873</v>
      </c>
      <c r="D440" s="4" t="s">
        <v>1874</v>
      </c>
      <c r="E440" s="5" t="s">
        <v>158</v>
      </c>
      <c r="F440" s="5" t="s">
        <v>49</v>
      </c>
      <c r="G440" s="5" t="s">
        <v>1875</v>
      </c>
      <c r="H440" s="5" t="s">
        <v>37</v>
      </c>
      <c r="I440" s="5" t="s">
        <v>23</v>
      </c>
      <c r="J440" s="5" t="s">
        <v>24</v>
      </c>
      <c r="K440" s="6" t="str">
        <f t="shared" si="1"/>
        <v>08567806333</v>
      </c>
      <c r="L440" s="6" t="str">
        <f>IFERROR(
VLOOKUP(
TRIM(
IF(ISNUMBER(FIND(",",E440)),
LEFT(E440,FIND(",",E440)-1),
E440
)
),
master!A:B,
2,
FALSE
),
"Belum ada mapping"
)
</f>
        <v>Jawa Barat</v>
      </c>
      <c r="M440" s="6">
        <f>IFERROR(__xludf.DUMMYFUNCTION("IF(REGEXMATCH(I440,""Cari Kerja""),1,0)
"),1.0)</f>
        <v>1</v>
      </c>
      <c r="N440" s="6">
        <f>IFERROR(__xludf.DUMMYFUNCTION("IF(REGEXMATCH(I440,""Upskill""),1,0)
"),1.0)</f>
        <v>1</v>
      </c>
      <c r="O440" s="6">
        <f>IFERROR(__xludf.DUMMYFUNCTION("IF(REGEXMATCH(I440,""Networking""),1,0)
"),1.0)</f>
        <v>1</v>
      </c>
      <c r="P440" s="6">
        <f>IFERROR(__xludf.DUMMYFUNCTION("IF(REGEXMATCH(I440,""Switch Career""),1,0)
"),0.0)</f>
        <v>0</v>
      </c>
    </row>
    <row r="441" ht="22.5" customHeight="1">
      <c r="A441" s="7">
        <v>46040.49398640046</v>
      </c>
      <c r="B441" s="8" t="s">
        <v>1876</v>
      </c>
      <c r="C441" s="8" t="s">
        <v>1877</v>
      </c>
      <c r="D441" s="9" t="s">
        <v>1878</v>
      </c>
      <c r="E441" s="8" t="s">
        <v>86</v>
      </c>
      <c r="F441" s="8" t="s">
        <v>20</v>
      </c>
      <c r="G441" s="8" t="s">
        <v>1879</v>
      </c>
      <c r="H441" s="8" t="s">
        <v>187</v>
      </c>
      <c r="I441" s="8" t="s">
        <v>23</v>
      </c>
      <c r="J441" s="8" t="s">
        <v>24</v>
      </c>
      <c r="K441" s="6" t="str">
        <f t="shared" si="1"/>
        <v>089524248709</v>
      </c>
      <c r="L441" s="6" t="str">
        <f>IFERROR(
VLOOKUP(
TRIM(
IF(ISNUMBER(FIND(",",E441)),
LEFT(E441,FIND(",",E441)-1),
E441
)
),
master!A:B,
2,
FALSE
),
"Belum ada mapping"
)
</f>
        <v>Jawa Tengah</v>
      </c>
      <c r="M441" s="6">
        <f>IFERROR(__xludf.DUMMYFUNCTION("IF(REGEXMATCH(I441,""Cari Kerja""),1,0)
"),1.0)</f>
        <v>1</v>
      </c>
      <c r="N441" s="6">
        <f>IFERROR(__xludf.DUMMYFUNCTION("IF(REGEXMATCH(I441,""Upskill""),1,0)
"),1.0)</f>
        <v>1</v>
      </c>
      <c r="O441" s="6">
        <f>IFERROR(__xludf.DUMMYFUNCTION("IF(REGEXMATCH(I441,""Networking""),1,0)
"),1.0)</f>
        <v>1</v>
      </c>
      <c r="P441" s="6">
        <f>IFERROR(__xludf.DUMMYFUNCTION("IF(REGEXMATCH(I441,""Switch Career""),1,0)
"),0.0)</f>
        <v>0</v>
      </c>
    </row>
    <row r="442" ht="22.5" customHeight="1">
      <c r="A442" s="3">
        <v>46045.483551261575</v>
      </c>
      <c r="B442" s="5" t="s">
        <v>1880</v>
      </c>
      <c r="C442" s="5" t="s">
        <v>1881</v>
      </c>
      <c r="D442" s="4" t="s">
        <v>1882</v>
      </c>
      <c r="E442" s="5" t="s">
        <v>207</v>
      </c>
      <c r="F442" s="5" t="s">
        <v>49</v>
      </c>
      <c r="G442" s="5" t="s">
        <v>1883</v>
      </c>
      <c r="H442" s="5" t="s">
        <v>51</v>
      </c>
      <c r="I442" s="5" t="s">
        <v>59</v>
      </c>
      <c r="J442" s="5" t="s">
        <v>24</v>
      </c>
      <c r="K442" s="6" t="str">
        <f t="shared" si="1"/>
        <v>082140576318</v>
      </c>
      <c r="L442" s="6" t="str">
        <f>IFERROR(
VLOOKUP(
TRIM(
IF(ISNUMBER(FIND(",",E442)),
LEFT(E442,FIND(",",E442)-1),
E442
)
),
master!A:B,
2,
FALSE
),
"Belum ada mapping"
)
</f>
        <v>Jakarta</v>
      </c>
      <c r="M442" s="6">
        <f>IFERROR(__xludf.DUMMYFUNCTION("IF(REGEXMATCH(I442,""Cari Kerja""),1,0)
"),0.0)</f>
        <v>0</v>
      </c>
      <c r="N442" s="6">
        <f>IFERROR(__xludf.DUMMYFUNCTION("IF(REGEXMATCH(I442,""Upskill""),1,0)
"),1.0)</f>
        <v>1</v>
      </c>
      <c r="O442" s="6">
        <f>IFERROR(__xludf.DUMMYFUNCTION("IF(REGEXMATCH(I442,""Networking""),1,0)
"),1.0)</f>
        <v>1</v>
      </c>
      <c r="P442" s="6">
        <f>IFERROR(__xludf.DUMMYFUNCTION("IF(REGEXMATCH(I442,""Switch Career""),1,0)
"),0.0)</f>
        <v>0</v>
      </c>
    </row>
    <row r="443" ht="22.5" customHeight="1">
      <c r="A443" s="7">
        <v>46040.329958726856</v>
      </c>
      <c r="B443" s="8" t="s">
        <v>1884</v>
      </c>
      <c r="C443" s="8" t="s">
        <v>1885</v>
      </c>
      <c r="D443" s="9" t="s">
        <v>1886</v>
      </c>
      <c r="E443" s="8" t="s">
        <v>207</v>
      </c>
      <c r="F443" s="8" t="s">
        <v>49</v>
      </c>
      <c r="G443" s="8" t="s">
        <v>1887</v>
      </c>
      <c r="H443" s="8" t="s">
        <v>1888</v>
      </c>
      <c r="I443" s="8" t="s">
        <v>23</v>
      </c>
      <c r="J443" s="8" t="s">
        <v>24</v>
      </c>
      <c r="K443" s="6" t="str">
        <f t="shared" si="1"/>
        <v>085156822135</v>
      </c>
      <c r="L443" s="6" t="str">
        <f>IFERROR(
VLOOKUP(
TRIM(
IF(ISNUMBER(FIND(",",E443)),
LEFT(E443,FIND(",",E443)-1),
E443
)
),
master!A:B,
2,
FALSE
),
"Belum ada mapping"
)
</f>
        <v>Jakarta</v>
      </c>
      <c r="M443" s="6">
        <f>IFERROR(__xludf.DUMMYFUNCTION("IF(REGEXMATCH(I443,""Cari Kerja""),1,0)
"),1.0)</f>
        <v>1</v>
      </c>
      <c r="N443" s="6">
        <f>IFERROR(__xludf.DUMMYFUNCTION("IF(REGEXMATCH(I443,""Upskill""),1,0)
"),1.0)</f>
        <v>1</v>
      </c>
      <c r="O443" s="6">
        <f>IFERROR(__xludf.DUMMYFUNCTION("IF(REGEXMATCH(I443,""Networking""),1,0)
"),1.0)</f>
        <v>1</v>
      </c>
      <c r="P443" s="6">
        <f>IFERROR(__xludf.DUMMYFUNCTION("IF(REGEXMATCH(I443,""Switch Career""),1,0)
"),0.0)</f>
        <v>0</v>
      </c>
    </row>
    <row r="444" ht="22.5" customHeight="1">
      <c r="A444" s="3">
        <v>46042.32514215278</v>
      </c>
      <c r="B444" s="5" t="s">
        <v>1889</v>
      </c>
      <c r="C444" s="5" t="s">
        <v>1890</v>
      </c>
      <c r="D444" s="4" t="s">
        <v>1891</v>
      </c>
      <c r="E444" s="5" t="s">
        <v>1892</v>
      </c>
      <c r="F444" s="5" t="s">
        <v>20</v>
      </c>
      <c r="G444" s="5" t="s">
        <v>1893</v>
      </c>
      <c r="H444" s="5" t="s">
        <v>51</v>
      </c>
      <c r="I444" s="5" t="s">
        <v>31</v>
      </c>
      <c r="J444" s="5" t="s">
        <v>24</v>
      </c>
      <c r="K444" s="6" t="str">
        <f t="shared" si="1"/>
        <v>081359212967</v>
      </c>
      <c r="L444" s="6" t="str">
        <f>IFERROR(
VLOOKUP(
TRIM(
IF(ISNUMBER(FIND(",",E444)),
LEFT(E444,FIND(",",E444)-1),
E444
)
),
master!A:B,
2,
FALSE
),
"Belum ada mapping"
)
</f>
        <v>Jawa Tengah</v>
      </c>
      <c r="M444" s="6">
        <f>IFERROR(__xludf.DUMMYFUNCTION("IF(REGEXMATCH(I444,""Cari Kerja""),1,0)
"),1.0)</f>
        <v>1</v>
      </c>
      <c r="N444" s="6">
        <f>IFERROR(__xludf.DUMMYFUNCTION("IF(REGEXMATCH(I444,""Upskill""),1,0)
"),1.0)</f>
        <v>1</v>
      </c>
      <c r="O444" s="6">
        <f>IFERROR(__xludf.DUMMYFUNCTION("IF(REGEXMATCH(I444,""Networking""),1,0)
"),1.0)</f>
        <v>1</v>
      </c>
      <c r="P444" s="6">
        <f>IFERROR(__xludf.DUMMYFUNCTION("IF(REGEXMATCH(I444,""Switch Career""),1,0)
"),1.0)</f>
        <v>1</v>
      </c>
    </row>
    <row r="445" ht="22.5" customHeight="1">
      <c r="A445" s="3">
        <v>46042.30379012732</v>
      </c>
      <c r="B445" s="5" t="s">
        <v>1894</v>
      </c>
      <c r="C445" s="5" t="s">
        <v>1895</v>
      </c>
      <c r="D445" s="4" t="s">
        <v>1896</v>
      </c>
      <c r="E445" s="5" t="s">
        <v>1808</v>
      </c>
      <c r="F445" s="5" t="s">
        <v>20</v>
      </c>
      <c r="G445" s="5" t="s">
        <v>267</v>
      </c>
      <c r="H445" s="5" t="s">
        <v>905</v>
      </c>
      <c r="I445" s="5" t="s">
        <v>130</v>
      </c>
      <c r="J445" s="5" t="s">
        <v>24</v>
      </c>
      <c r="K445" s="6" t="str">
        <f t="shared" si="1"/>
        <v>089692081605</v>
      </c>
      <c r="L445" s="6" t="str">
        <f>IFERROR(
VLOOKUP(
TRIM(
IF(ISNUMBER(FIND(",",E445)),
LEFT(E445,FIND(",",E445)-1),
E445
)
),
master!A:B,
2,
FALSE
),
"Belum ada mapping"
)
</f>
        <v>Kalimantan Selatan</v>
      </c>
      <c r="M445" s="6">
        <f>IFERROR(__xludf.DUMMYFUNCTION("IF(REGEXMATCH(I445,""Cari Kerja""),1,0)
"),1.0)</f>
        <v>1</v>
      </c>
      <c r="N445" s="6">
        <f>IFERROR(__xludf.DUMMYFUNCTION("IF(REGEXMATCH(I445,""Upskill""),1,0)
"),1.0)</f>
        <v>1</v>
      </c>
      <c r="O445" s="6">
        <f>IFERROR(__xludf.DUMMYFUNCTION("IF(REGEXMATCH(I445,""Networking""),1,0)
"),0.0)</f>
        <v>0</v>
      </c>
      <c r="P445" s="6">
        <f>IFERROR(__xludf.DUMMYFUNCTION("IF(REGEXMATCH(I445,""Switch Career""),1,0)
"),0.0)</f>
        <v>0</v>
      </c>
    </row>
    <row r="446" ht="22.5" customHeight="1">
      <c r="A446" s="3">
        <v>46046.53703327547</v>
      </c>
      <c r="B446" s="5" t="s">
        <v>1897</v>
      </c>
      <c r="C446" s="5" t="s">
        <v>1898</v>
      </c>
      <c r="D446" s="4" t="s">
        <v>1899</v>
      </c>
      <c r="E446" s="5" t="s">
        <v>551</v>
      </c>
      <c r="F446" s="5" t="s">
        <v>20</v>
      </c>
      <c r="G446" s="5" t="s">
        <v>1900</v>
      </c>
      <c r="H446" s="5" t="s">
        <v>51</v>
      </c>
      <c r="I446" s="5" t="s">
        <v>31</v>
      </c>
      <c r="J446" s="5" t="s">
        <v>24</v>
      </c>
      <c r="K446" s="6" t="str">
        <f t="shared" si="1"/>
        <v>087722123163</v>
      </c>
      <c r="L446" s="6" t="str">
        <f>IFERROR(
VLOOKUP(
TRIM(
IF(ISNUMBER(FIND(",",E446)),
LEFT(E446,FIND(",",E446)-1),
E446
)
),
master!A:B,
2,
FALSE
),
"Belum ada mapping"
)
</f>
        <v>Jawa Barat</v>
      </c>
      <c r="M446" s="6">
        <f>IFERROR(__xludf.DUMMYFUNCTION("IF(REGEXMATCH(I446,""Cari Kerja""),1,0)
"),1.0)</f>
        <v>1</v>
      </c>
      <c r="N446" s="6">
        <f>IFERROR(__xludf.DUMMYFUNCTION("IF(REGEXMATCH(I446,""Upskill""),1,0)
"),1.0)</f>
        <v>1</v>
      </c>
      <c r="O446" s="6">
        <f>IFERROR(__xludf.DUMMYFUNCTION("IF(REGEXMATCH(I446,""Networking""),1,0)
"),1.0)</f>
        <v>1</v>
      </c>
      <c r="P446" s="6">
        <f>IFERROR(__xludf.DUMMYFUNCTION("IF(REGEXMATCH(I446,""Switch Career""),1,0)
"),1.0)</f>
        <v>1</v>
      </c>
    </row>
    <row r="447" ht="22.5" customHeight="1">
      <c r="A447" s="3">
        <v>46056.86073728009</v>
      </c>
      <c r="B447" s="5" t="s">
        <v>1901</v>
      </c>
      <c r="C447" s="5" t="s">
        <v>1902</v>
      </c>
      <c r="D447" s="4" t="s">
        <v>1903</v>
      </c>
      <c r="E447" s="5" t="s">
        <v>414</v>
      </c>
      <c r="F447" s="5" t="s">
        <v>20</v>
      </c>
      <c r="G447" s="5" t="s">
        <v>69</v>
      </c>
      <c r="H447" s="5" t="s">
        <v>51</v>
      </c>
      <c r="I447" s="5" t="s">
        <v>23</v>
      </c>
      <c r="J447" s="5" t="s">
        <v>24</v>
      </c>
      <c r="K447" s="10" t="str">
        <f t="shared" si="1"/>
        <v>082171808903</v>
      </c>
      <c r="L447" s="10" t="str">
        <f>IFERROR(
VLOOKUP(
TRIM(
IF(ISNUMBER(FIND(",",E447)),
LEFT(E447,FIND(",",E447)-1),
E447
)
),
master!A:B,
2,
FALSE
),
"Belum ada mapping"
)
</f>
        <v>DI Yogyakarta</v>
      </c>
      <c r="M447" s="10">
        <f>IFERROR(__xludf.DUMMYFUNCTION("IF(REGEXMATCH(I447,""Cari Kerja""),1,0)
"),1.0)</f>
        <v>1</v>
      </c>
      <c r="N447" s="10">
        <f>IFERROR(__xludf.DUMMYFUNCTION("IF(REGEXMATCH(I447,""Upskill""),1,0)
"),1.0)</f>
        <v>1</v>
      </c>
      <c r="O447" s="10">
        <f>IFERROR(__xludf.DUMMYFUNCTION("IF(REGEXMATCH(I447,""Networking""),1,0)
"),1.0)</f>
        <v>1</v>
      </c>
      <c r="P447" s="10">
        <f>IFERROR(__xludf.DUMMYFUNCTION("IF(REGEXMATCH(I447,""Switch Career""),1,0)
"),0.0)</f>
        <v>0</v>
      </c>
    </row>
    <row r="448" ht="22.5" customHeight="1">
      <c r="A448" s="3">
        <v>46046.70060043981</v>
      </c>
      <c r="B448" s="5" t="s">
        <v>1904</v>
      </c>
      <c r="C448" s="5" t="s">
        <v>1905</v>
      </c>
      <c r="D448" s="4" t="s">
        <v>1906</v>
      </c>
      <c r="E448" s="5" t="s">
        <v>1825</v>
      </c>
      <c r="F448" s="5" t="s">
        <v>49</v>
      </c>
      <c r="G448" s="5" t="s">
        <v>1907</v>
      </c>
      <c r="H448" s="5" t="s">
        <v>82</v>
      </c>
      <c r="I448" s="5" t="s">
        <v>23</v>
      </c>
      <c r="J448" s="5" t="s">
        <v>24</v>
      </c>
      <c r="K448" s="6" t="str">
        <f t="shared" si="1"/>
        <v>083841316637</v>
      </c>
      <c r="L448" s="6" t="str">
        <f>IFERROR(
VLOOKUP(
TRIM(
IF(ISNUMBER(FIND(",",E448)),
LEFT(E448,FIND(",",E448)-1),
E448
)
),
master!A:B,
2,
FALSE
),
"Belum ada mapping"
)
</f>
        <v>Banten</v>
      </c>
      <c r="M448" s="6">
        <f>IFERROR(__xludf.DUMMYFUNCTION("IF(REGEXMATCH(I448,""Cari Kerja""),1,0)
"),1.0)</f>
        <v>1</v>
      </c>
      <c r="N448" s="6">
        <f>IFERROR(__xludf.DUMMYFUNCTION("IF(REGEXMATCH(I448,""Upskill""),1,0)
"),1.0)</f>
        <v>1</v>
      </c>
      <c r="O448" s="6">
        <f>IFERROR(__xludf.DUMMYFUNCTION("IF(REGEXMATCH(I448,""Networking""),1,0)
"),1.0)</f>
        <v>1</v>
      </c>
      <c r="P448" s="6">
        <f>IFERROR(__xludf.DUMMYFUNCTION("IF(REGEXMATCH(I448,""Switch Career""),1,0)
"),0.0)</f>
        <v>0</v>
      </c>
    </row>
    <row r="449" ht="22.5" customHeight="1">
      <c r="A449" s="3">
        <v>46046.62860982639</v>
      </c>
      <c r="B449" s="5" t="s">
        <v>1908</v>
      </c>
      <c r="C449" s="5" t="s">
        <v>1909</v>
      </c>
      <c r="D449" s="4" t="s">
        <v>1910</v>
      </c>
      <c r="E449" s="5" t="s">
        <v>74</v>
      </c>
      <c r="F449" s="5" t="s">
        <v>20</v>
      </c>
      <c r="G449" s="5" t="s">
        <v>1911</v>
      </c>
      <c r="H449" s="5" t="s">
        <v>1912</v>
      </c>
      <c r="I449" s="5" t="s">
        <v>31</v>
      </c>
      <c r="J449" s="5" t="s">
        <v>24</v>
      </c>
      <c r="K449" s="6" t="str">
        <f t="shared" si="1"/>
        <v>081263260025</v>
      </c>
      <c r="L449" s="6" t="str">
        <f>IFERROR(
VLOOKUP(
TRIM(
IF(ISNUMBER(FIND(",",E449)),
LEFT(E449,FIND(",",E449)-1),
E449
)
),
master!A:B,
2,
FALSE
),
"Belum ada mapping"
)
</f>
        <v>Banten</v>
      </c>
      <c r="M449" s="6">
        <f>IFERROR(__xludf.DUMMYFUNCTION("IF(REGEXMATCH(I449,""Cari Kerja""),1,0)
"),1.0)</f>
        <v>1</v>
      </c>
      <c r="N449" s="6">
        <f>IFERROR(__xludf.DUMMYFUNCTION("IF(REGEXMATCH(I449,""Upskill""),1,0)
"),1.0)</f>
        <v>1</v>
      </c>
      <c r="O449" s="6">
        <f>IFERROR(__xludf.DUMMYFUNCTION("IF(REGEXMATCH(I449,""Networking""),1,0)
"),1.0)</f>
        <v>1</v>
      </c>
      <c r="P449" s="6">
        <f>IFERROR(__xludf.DUMMYFUNCTION("IF(REGEXMATCH(I449,""Switch Career""),1,0)
"),1.0)</f>
        <v>1</v>
      </c>
    </row>
    <row r="450" ht="22.5" customHeight="1">
      <c r="A450" s="3">
        <v>46120.577082916665</v>
      </c>
      <c r="B450" s="5" t="s">
        <v>1913</v>
      </c>
      <c r="C450" s="5" t="s">
        <v>1914</v>
      </c>
      <c r="D450" s="4" t="s">
        <v>1915</v>
      </c>
      <c r="E450" s="5" t="s">
        <v>42</v>
      </c>
      <c r="F450" s="5" t="s">
        <v>49</v>
      </c>
      <c r="G450" s="5" t="s">
        <v>1916</v>
      </c>
      <c r="H450" s="5" t="s">
        <v>955</v>
      </c>
      <c r="I450" s="5" t="s">
        <v>15</v>
      </c>
      <c r="J450" s="5" t="s">
        <v>24</v>
      </c>
      <c r="K450" s="10" t="str">
        <f t="shared" si="1"/>
        <v>081325177052</v>
      </c>
      <c r="L450" s="10" t="str">
        <f>IFERROR(
VLOOKUP(
TRIM(
IF(ISNUMBER(FIND(",",E450)),
LEFT(E450,FIND(",",E450)-1),
E450
)
),
master!A:B,
2,
FALSE
),
"Belum ada mapping"
)
</f>
        <v>Jawa Barat</v>
      </c>
      <c r="M450" s="10">
        <f>IFERROR(__xludf.DUMMYFUNCTION("IF(REGEXMATCH(I450,""Cari Kerja""),1,0)
"),0.0)</f>
        <v>0</v>
      </c>
      <c r="N450" s="10">
        <f>IFERROR(__xludf.DUMMYFUNCTION("IF(REGEXMATCH(I450,""Upskill""),1,0)
"),0.0)</f>
        <v>0</v>
      </c>
      <c r="O450" s="10">
        <f>IFERROR(__xludf.DUMMYFUNCTION("IF(REGEXMATCH(I450,""Networking""),1,0)
"),0.0)</f>
        <v>0</v>
      </c>
      <c r="P450" s="10">
        <f>IFERROR(__xludf.DUMMYFUNCTION("IF(REGEXMATCH(I450,""Switch Career""),1,0)
"),1.0)</f>
        <v>1</v>
      </c>
    </row>
    <row r="451" ht="22.5" customHeight="1">
      <c r="A451" s="3">
        <v>46043.26810494213</v>
      </c>
      <c r="B451" s="5" t="s">
        <v>1917</v>
      </c>
      <c r="C451" s="5" t="s">
        <v>1918</v>
      </c>
      <c r="D451" s="4" t="s">
        <v>1919</v>
      </c>
      <c r="E451" s="5" t="s">
        <v>551</v>
      </c>
      <c r="F451" s="5" t="s">
        <v>20</v>
      </c>
      <c r="G451" s="5" t="s">
        <v>360</v>
      </c>
      <c r="H451" s="5" t="s">
        <v>51</v>
      </c>
      <c r="I451" s="5" t="s">
        <v>23</v>
      </c>
      <c r="J451" s="5" t="s">
        <v>24</v>
      </c>
      <c r="K451" s="6" t="str">
        <f t="shared" si="1"/>
        <v>081214884005</v>
      </c>
      <c r="L451" s="6" t="str">
        <f>IFERROR(
VLOOKUP(
TRIM(
IF(ISNUMBER(FIND(",",E451)),
LEFT(E451,FIND(",",E451)-1),
E451
)
),
master!A:B,
2,
FALSE
),
"Belum ada mapping"
)
</f>
        <v>Jawa Barat</v>
      </c>
      <c r="M451" s="6">
        <f>IFERROR(__xludf.DUMMYFUNCTION("IF(REGEXMATCH(I451,""Cari Kerja""),1,0)
"),1.0)</f>
        <v>1</v>
      </c>
      <c r="N451" s="6">
        <f>IFERROR(__xludf.DUMMYFUNCTION("IF(REGEXMATCH(I451,""Upskill""),1,0)
"),1.0)</f>
        <v>1</v>
      </c>
      <c r="O451" s="6">
        <f>IFERROR(__xludf.DUMMYFUNCTION("IF(REGEXMATCH(I451,""Networking""),1,0)
"),1.0)</f>
        <v>1</v>
      </c>
      <c r="P451" s="6">
        <f>IFERROR(__xludf.DUMMYFUNCTION("IF(REGEXMATCH(I451,""Switch Career""),1,0)
"),0.0)</f>
        <v>0</v>
      </c>
    </row>
    <row r="452" ht="22.5" customHeight="1">
      <c r="A452" s="7">
        <v>46040.43918244213</v>
      </c>
      <c r="B452" s="8" t="s">
        <v>1920</v>
      </c>
      <c r="C452" s="8" t="s">
        <v>1921</v>
      </c>
      <c r="D452" s="9" t="s">
        <v>1922</v>
      </c>
      <c r="E452" s="8" t="s">
        <v>42</v>
      </c>
      <c r="F452" s="8" t="s">
        <v>49</v>
      </c>
      <c r="G452" s="8" t="s">
        <v>369</v>
      </c>
      <c r="H452" s="8" t="s">
        <v>278</v>
      </c>
      <c r="I452" s="8" t="s">
        <v>23</v>
      </c>
      <c r="J452" s="8" t="s">
        <v>24</v>
      </c>
      <c r="K452" s="6" t="str">
        <f t="shared" si="1"/>
        <v>085183236010</v>
      </c>
      <c r="L452" s="6" t="str">
        <f>IFERROR(
VLOOKUP(
TRIM(
IF(ISNUMBER(FIND(",",E452)),
LEFT(E452,FIND(",",E452)-1),
E452
)
),
master!A:B,
2,
FALSE
),
"Belum ada mapping"
)
</f>
        <v>Jawa Barat</v>
      </c>
      <c r="M452" s="6">
        <f>IFERROR(__xludf.DUMMYFUNCTION("IF(REGEXMATCH(I452,""Cari Kerja""),1,0)
"),1.0)</f>
        <v>1</v>
      </c>
      <c r="N452" s="6">
        <f>IFERROR(__xludf.DUMMYFUNCTION("IF(REGEXMATCH(I452,""Upskill""),1,0)
"),1.0)</f>
        <v>1</v>
      </c>
      <c r="O452" s="6">
        <f>IFERROR(__xludf.DUMMYFUNCTION("IF(REGEXMATCH(I452,""Networking""),1,0)
"),1.0)</f>
        <v>1</v>
      </c>
      <c r="P452" s="6">
        <f>IFERROR(__xludf.DUMMYFUNCTION("IF(REGEXMATCH(I452,""Switch Career""),1,0)
"),0.0)</f>
        <v>0</v>
      </c>
    </row>
    <row r="453" ht="22.5" customHeight="1">
      <c r="A453" s="3">
        <v>46116.44838216435</v>
      </c>
      <c r="B453" s="5" t="s">
        <v>1923</v>
      </c>
      <c r="C453" s="5" t="s">
        <v>1924</v>
      </c>
      <c r="D453" s="4" t="s">
        <v>1925</v>
      </c>
      <c r="E453" s="5" t="s">
        <v>42</v>
      </c>
      <c r="F453" s="5" t="s">
        <v>20</v>
      </c>
      <c r="G453" s="5" t="s">
        <v>605</v>
      </c>
      <c r="H453" s="5" t="s">
        <v>1926</v>
      </c>
      <c r="I453" s="5" t="s">
        <v>31</v>
      </c>
      <c r="J453" s="5" t="s">
        <v>38</v>
      </c>
      <c r="K453" s="10" t="str">
        <f t="shared" si="1"/>
        <v>081915514621</v>
      </c>
      <c r="L453" s="10" t="str">
        <f>IFERROR(
VLOOKUP(
TRIM(
IF(ISNUMBER(FIND(",",E453)),
LEFT(E453,FIND(",",E453)-1),
E453
)
),
master!A:B,
2,
FALSE
),
"Belum ada mapping"
)
</f>
        <v>Jawa Barat</v>
      </c>
      <c r="M453" s="10">
        <f>IFERROR(__xludf.DUMMYFUNCTION("IF(REGEXMATCH(I453,""Cari Kerja""),1,0)
"),1.0)</f>
        <v>1</v>
      </c>
      <c r="N453" s="10">
        <f>IFERROR(__xludf.DUMMYFUNCTION("IF(REGEXMATCH(I453,""Upskill""),1,0)
"),1.0)</f>
        <v>1</v>
      </c>
      <c r="O453" s="10">
        <f>IFERROR(__xludf.DUMMYFUNCTION("IF(REGEXMATCH(I453,""Networking""),1,0)
"),1.0)</f>
        <v>1</v>
      </c>
      <c r="P453" s="10">
        <f>IFERROR(__xludf.DUMMYFUNCTION("IF(REGEXMATCH(I453,""Switch Career""),1,0)
"),1.0)</f>
        <v>1</v>
      </c>
    </row>
    <row r="454" ht="22.5" customHeight="1">
      <c r="A454" s="3">
        <v>46146.7271312963</v>
      </c>
      <c r="B454" s="5" t="s">
        <v>1927</v>
      </c>
      <c r="C454" s="5" t="s">
        <v>1928</v>
      </c>
      <c r="D454" s="4" t="s">
        <v>1929</v>
      </c>
      <c r="E454" s="5" t="s">
        <v>1930</v>
      </c>
      <c r="F454" s="5" t="s">
        <v>20</v>
      </c>
      <c r="G454" s="5" t="s">
        <v>633</v>
      </c>
      <c r="H454" s="5" t="s">
        <v>51</v>
      </c>
      <c r="I454" s="5" t="s">
        <v>23</v>
      </c>
      <c r="J454" s="5" t="s">
        <v>24</v>
      </c>
      <c r="K454" s="10" t="str">
        <f t="shared" si="1"/>
        <v>085156961639</v>
      </c>
      <c r="L454" s="10" t="str">
        <f>IFERROR(
VLOOKUP(
TRIM(
IF(ISNUMBER(FIND(",",E454)),
LEFT(E454,FIND(",",E454)-1),
E454
)
),
master!A:B,
2,
FALSE
),
"Belum ada mapping"
)
</f>
        <v>Belum ada mapping</v>
      </c>
      <c r="M454" s="10">
        <f>IFERROR(__xludf.DUMMYFUNCTION("IF(REGEXMATCH(I454,""Cari Kerja""),1,0)
"),1.0)</f>
        <v>1</v>
      </c>
      <c r="N454" s="10">
        <f>IFERROR(__xludf.DUMMYFUNCTION("IF(REGEXMATCH(I454,""Upskill""),1,0)
"),1.0)</f>
        <v>1</v>
      </c>
      <c r="O454" s="10">
        <f>IFERROR(__xludf.DUMMYFUNCTION("IF(REGEXMATCH(I454,""Networking""),1,0)
"),1.0)</f>
        <v>1</v>
      </c>
      <c r="P454" s="10">
        <f>IFERROR(__xludf.DUMMYFUNCTION("IF(REGEXMATCH(I454,""Switch Career""),1,0)
"),0.0)</f>
        <v>0</v>
      </c>
    </row>
    <row r="455" ht="22.5" customHeight="1">
      <c r="A455" s="3">
        <v>46048.922979027775</v>
      </c>
      <c r="B455" s="5" t="s">
        <v>1931</v>
      </c>
      <c r="C455" s="5" t="s">
        <v>1932</v>
      </c>
      <c r="D455" s="4" t="s">
        <v>1933</v>
      </c>
      <c r="E455" s="5" t="s">
        <v>48</v>
      </c>
      <c r="F455" s="5" t="s">
        <v>20</v>
      </c>
      <c r="G455" s="5" t="s">
        <v>1934</v>
      </c>
      <c r="H455" s="5" t="s">
        <v>1935</v>
      </c>
      <c r="I455" s="5" t="s">
        <v>23</v>
      </c>
      <c r="J455" s="5" t="s">
        <v>38</v>
      </c>
      <c r="K455" s="6" t="str">
        <f t="shared" si="1"/>
        <v>082285935808</v>
      </c>
      <c r="L455" s="6" t="str">
        <f>IFERROR(
VLOOKUP(
TRIM(
IF(ISNUMBER(FIND(",",E455)),
LEFT(E455,FIND(",",E455)-1),
E455
)
),
master!A:B,
2,
FALSE
),
"Belum ada mapping"
)
</f>
        <v>DI Yogyakarta</v>
      </c>
      <c r="M455" s="6">
        <f>IFERROR(__xludf.DUMMYFUNCTION("IF(REGEXMATCH(I455,""Cari Kerja""),1,0)
"),1.0)</f>
        <v>1</v>
      </c>
      <c r="N455" s="6">
        <f>IFERROR(__xludf.DUMMYFUNCTION("IF(REGEXMATCH(I455,""Upskill""),1,0)
"),1.0)</f>
        <v>1</v>
      </c>
      <c r="O455" s="6">
        <f>IFERROR(__xludf.DUMMYFUNCTION("IF(REGEXMATCH(I455,""Networking""),1,0)
"),1.0)</f>
        <v>1</v>
      </c>
      <c r="P455" s="6">
        <f>IFERROR(__xludf.DUMMYFUNCTION("IF(REGEXMATCH(I455,""Switch Career""),1,0)
"),0.0)</f>
        <v>0</v>
      </c>
    </row>
    <row r="456" ht="22.5" customHeight="1">
      <c r="A456" s="3">
        <v>46045.4927187037</v>
      </c>
      <c r="B456" s="5" t="s">
        <v>1936</v>
      </c>
      <c r="C456" s="5" t="s">
        <v>1937</v>
      </c>
      <c r="D456" s="4" t="s">
        <v>1938</v>
      </c>
      <c r="E456" s="5" t="s">
        <v>1939</v>
      </c>
      <c r="F456" s="5" t="s">
        <v>20</v>
      </c>
      <c r="G456" s="5" t="s">
        <v>656</v>
      </c>
      <c r="H456" s="5" t="s">
        <v>51</v>
      </c>
      <c r="I456" s="5" t="s">
        <v>23</v>
      </c>
      <c r="J456" s="5" t="s">
        <v>24</v>
      </c>
      <c r="K456" s="6" t="str">
        <f t="shared" si="1"/>
        <v>085725119398</v>
      </c>
      <c r="L456" s="6" t="str">
        <f>IFERROR(
VLOOKUP(
TRIM(
IF(ISNUMBER(FIND(",",E456)),
LEFT(E456,FIND(",",E456)-1),
E456
)
),
master!A:B,
2,
FALSE
),
"Belum ada mapping"
)
</f>
        <v>Jawa Tengah</v>
      </c>
      <c r="M456" s="6">
        <f>IFERROR(__xludf.DUMMYFUNCTION("IF(REGEXMATCH(I456,""Cari Kerja""),1,0)
"),1.0)</f>
        <v>1</v>
      </c>
      <c r="N456" s="6">
        <f>IFERROR(__xludf.DUMMYFUNCTION("IF(REGEXMATCH(I456,""Upskill""),1,0)
"),1.0)</f>
        <v>1</v>
      </c>
      <c r="O456" s="6">
        <f>IFERROR(__xludf.DUMMYFUNCTION("IF(REGEXMATCH(I456,""Networking""),1,0)
"),1.0)</f>
        <v>1</v>
      </c>
      <c r="P456" s="6">
        <f>IFERROR(__xludf.DUMMYFUNCTION("IF(REGEXMATCH(I456,""Switch Career""),1,0)
"),0.0)</f>
        <v>0</v>
      </c>
    </row>
    <row r="457" ht="22.5" customHeight="1">
      <c r="A457" s="3">
        <v>46044.973684791665</v>
      </c>
      <c r="B457" s="5" t="s">
        <v>1940</v>
      </c>
      <c r="C457" s="5" t="s">
        <v>1941</v>
      </c>
      <c r="D457" s="4" t="s">
        <v>1942</v>
      </c>
      <c r="E457" s="5" t="s">
        <v>1010</v>
      </c>
      <c r="F457" s="5" t="s">
        <v>20</v>
      </c>
      <c r="G457" s="5" t="s">
        <v>1943</v>
      </c>
      <c r="H457" s="5" t="s">
        <v>209</v>
      </c>
      <c r="I457" s="5" t="s">
        <v>23</v>
      </c>
      <c r="J457" s="5" t="s">
        <v>24</v>
      </c>
      <c r="K457" s="6" t="str">
        <f t="shared" si="1"/>
        <v>085711942921</v>
      </c>
      <c r="L457" s="6" t="str">
        <f>IFERROR(
VLOOKUP(
TRIM(
IF(ISNUMBER(FIND(",",E457)),
LEFT(E457,FIND(",",E457)-1),
E457
)
),
master!A:B,
2,
FALSE
),
"Belum ada mapping"
)
</f>
        <v>Jawa Barat</v>
      </c>
      <c r="M457" s="6">
        <f>IFERROR(__xludf.DUMMYFUNCTION("IF(REGEXMATCH(I457,""Cari Kerja""),1,0)
"),1.0)</f>
        <v>1</v>
      </c>
      <c r="N457" s="6">
        <f>IFERROR(__xludf.DUMMYFUNCTION("IF(REGEXMATCH(I457,""Upskill""),1,0)
"),1.0)</f>
        <v>1</v>
      </c>
      <c r="O457" s="6">
        <f>IFERROR(__xludf.DUMMYFUNCTION("IF(REGEXMATCH(I457,""Networking""),1,0)
"),1.0)</f>
        <v>1</v>
      </c>
      <c r="P457" s="6">
        <f>IFERROR(__xludf.DUMMYFUNCTION("IF(REGEXMATCH(I457,""Switch Career""),1,0)
"),0.0)</f>
        <v>0</v>
      </c>
    </row>
    <row r="458" ht="22.5" customHeight="1">
      <c r="A458" s="3">
        <v>46149.370383182875</v>
      </c>
      <c r="B458" s="5" t="s">
        <v>1944</v>
      </c>
      <c r="C458" s="5" t="s">
        <v>1945</v>
      </c>
      <c r="D458" s="4" t="s">
        <v>1946</v>
      </c>
      <c r="E458" s="5" t="s">
        <v>1947</v>
      </c>
      <c r="F458" s="5" t="s">
        <v>49</v>
      </c>
      <c r="G458" s="5" t="s">
        <v>1948</v>
      </c>
      <c r="H458" s="5" t="s">
        <v>1949</v>
      </c>
      <c r="I458" s="5" t="s">
        <v>31</v>
      </c>
      <c r="J458" s="5" t="s">
        <v>38</v>
      </c>
      <c r="K458" s="10" t="str">
        <f t="shared" si="1"/>
        <v>089691416196</v>
      </c>
      <c r="L458" s="10" t="str">
        <f>IFERROR(
VLOOKUP(
TRIM(
IF(ISNUMBER(FIND(",",E458)),
LEFT(E458,FIND(",",E458)-1),
E458
)
),
master!A:B,
2,
FALSE
),
"Belum ada mapping"
)
</f>
        <v>Belum ada mapping</v>
      </c>
      <c r="M458" s="10">
        <f>IFERROR(__xludf.DUMMYFUNCTION("IF(REGEXMATCH(I458,""Cari Kerja""),1,0)
"),1.0)</f>
        <v>1</v>
      </c>
      <c r="N458" s="10">
        <f>IFERROR(__xludf.DUMMYFUNCTION("IF(REGEXMATCH(I458,""Upskill""),1,0)
"),1.0)</f>
        <v>1</v>
      </c>
      <c r="O458" s="10">
        <f>IFERROR(__xludf.DUMMYFUNCTION("IF(REGEXMATCH(I458,""Networking""),1,0)
"),1.0)</f>
        <v>1</v>
      </c>
      <c r="P458" s="10">
        <f>IFERROR(__xludf.DUMMYFUNCTION("IF(REGEXMATCH(I458,""Switch Career""),1,0)
"),1.0)</f>
        <v>1</v>
      </c>
    </row>
    <row r="459" ht="22.5" customHeight="1">
      <c r="A459" s="3">
        <v>46051.901689652776</v>
      </c>
      <c r="B459" s="5" t="s">
        <v>1950</v>
      </c>
      <c r="C459" s="5" t="s">
        <v>1951</v>
      </c>
      <c r="D459" s="4" t="s">
        <v>1952</v>
      </c>
      <c r="E459" s="5" t="s">
        <v>551</v>
      </c>
      <c r="F459" s="5" t="s">
        <v>20</v>
      </c>
      <c r="G459" s="5" t="s">
        <v>1953</v>
      </c>
      <c r="H459" s="5" t="s">
        <v>51</v>
      </c>
      <c r="I459" s="5" t="s">
        <v>31</v>
      </c>
      <c r="J459" s="5" t="s">
        <v>24</v>
      </c>
      <c r="K459" s="10" t="str">
        <f t="shared" si="1"/>
        <v>081319020621</v>
      </c>
      <c r="L459" s="10" t="str">
        <f>IFERROR(
VLOOKUP(
TRIM(
IF(ISNUMBER(FIND(",",E459)),
LEFT(E459,FIND(",",E459)-1),
E459
)
),
master!A:B,
2,
FALSE
),
"Belum ada mapping"
)
</f>
        <v>Jawa Barat</v>
      </c>
      <c r="M459" s="10">
        <f>IFERROR(__xludf.DUMMYFUNCTION("IF(REGEXMATCH(I459,""Cari Kerja""),1,0)
"),1.0)</f>
        <v>1</v>
      </c>
      <c r="N459" s="10">
        <f>IFERROR(__xludf.DUMMYFUNCTION("IF(REGEXMATCH(I459,""Upskill""),1,0)
"),1.0)</f>
        <v>1</v>
      </c>
      <c r="O459" s="10">
        <f>IFERROR(__xludf.DUMMYFUNCTION("IF(REGEXMATCH(I459,""Networking""),1,0)
"),1.0)</f>
        <v>1</v>
      </c>
      <c r="P459" s="10">
        <f>IFERROR(__xludf.DUMMYFUNCTION("IF(REGEXMATCH(I459,""Switch Career""),1,0)
"),1.0)</f>
        <v>1</v>
      </c>
    </row>
    <row r="460" ht="22.5" customHeight="1">
      <c r="A460" s="3">
        <v>46048.91661193287</v>
      </c>
      <c r="B460" s="5" t="s">
        <v>1954</v>
      </c>
      <c r="C460" s="5" t="s">
        <v>1955</v>
      </c>
      <c r="D460" s="4" t="s">
        <v>1956</v>
      </c>
      <c r="E460" s="5" t="s">
        <v>185</v>
      </c>
      <c r="F460" s="5" t="s">
        <v>49</v>
      </c>
      <c r="G460" s="5" t="s">
        <v>1957</v>
      </c>
      <c r="H460" s="5" t="s">
        <v>1958</v>
      </c>
      <c r="I460" s="5" t="s">
        <v>23</v>
      </c>
      <c r="J460" s="5" t="s">
        <v>24</v>
      </c>
      <c r="K460" s="6" t="str">
        <f t="shared" si="1"/>
        <v>0895336810295</v>
      </c>
      <c r="L460" s="6" t="str">
        <f>IFERROR(
VLOOKUP(
TRIM(
IF(ISNUMBER(FIND(",",E460)),
LEFT(E460,FIND(",",E460)-1),
E460
)
),
master!A:B,
2,
FALSE
),
"Belum ada mapping"
)
</f>
        <v>Jakarta</v>
      </c>
      <c r="M460" s="6">
        <f>IFERROR(__xludf.DUMMYFUNCTION("IF(REGEXMATCH(I460,""Cari Kerja""),1,0)
"),1.0)</f>
        <v>1</v>
      </c>
      <c r="N460" s="6">
        <f>IFERROR(__xludf.DUMMYFUNCTION("IF(REGEXMATCH(I460,""Upskill""),1,0)
"),1.0)</f>
        <v>1</v>
      </c>
      <c r="O460" s="6">
        <f>IFERROR(__xludf.DUMMYFUNCTION("IF(REGEXMATCH(I460,""Networking""),1,0)
"),1.0)</f>
        <v>1</v>
      </c>
      <c r="P460" s="6">
        <f>IFERROR(__xludf.DUMMYFUNCTION("IF(REGEXMATCH(I460,""Switch Career""),1,0)
"),0.0)</f>
        <v>0</v>
      </c>
    </row>
    <row r="461" ht="22.5" customHeight="1">
      <c r="A461" s="3">
        <v>46099.85774306713</v>
      </c>
      <c r="B461" s="5" t="s">
        <v>1959</v>
      </c>
      <c r="C461" s="5" t="s">
        <v>1960</v>
      </c>
      <c r="D461" s="4" t="s">
        <v>1961</v>
      </c>
      <c r="E461" s="5" t="s">
        <v>35</v>
      </c>
      <c r="F461" s="5" t="s">
        <v>20</v>
      </c>
      <c r="G461" s="5" t="s">
        <v>656</v>
      </c>
      <c r="H461" s="5" t="s">
        <v>1962</v>
      </c>
      <c r="I461" s="5" t="s">
        <v>31</v>
      </c>
      <c r="J461" s="5" t="s">
        <v>38</v>
      </c>
      <c r="K461" s="10" t="str">
        <f t="shared" si="1"/>
        <v>085159255613</v>
      </c>
      <c r="L461" s="10" t="str">
        <f>IFERROR(
VLOOKUP(
TRIM(
IF(ISNUMBER(FIND(",",E461)),
LEFT(E461,FIND(",",E461)-1),
E461
)
),
master!A:B,
2,
FALSE
),
"Belum ada mapping"
)
</f>
        <v>Jawa Timur</v>
      </c>
      <c r="M461" s="10">
        <f>IFERROR(__xludf.DUMMYFUNCTION("IF(REGEXMATCH(I461,""Cari Kerja""),1,0)
"),1.0)</f>
        <v>1</v>
      </c>
      <c r="N461" s="10">
        <f>IFERROR(__xludf.DUMMYFUNCTION("IF(REGEXMATCH(I461,""Upskill""),1,0)
"),1.0)</f>
        <v>1</v>
      </c>
      <c r="O461" s="10">
        <f>IFERROR(__xludf.DUMMYFUNCTION("IF(REGEXMATCH(I461,""Networking""),1,0)
"),1.0)</f>
        <v>1</v>
      </c>
      <c r="P461" s="10">
        <f>IFERROR(__xludf.DUMMYFUNCTION("IF(REGEXMATCH(I461,""Switch Career""),1,0)
"),1.0)</f>
        <v>1</v>
      </c>
    </row>
    <row r="462" ht="22.5" customHeight="1">
      <c r="A462" s="3">
        <v>46064.76192385417</v>
      </c>
      <c r="B462" s="5" t="s">
        <v>1963</v>
      </c>
      <c r="C462" s="5" t="s">
        <v>1964</v>
      </c>
      <c r="D462" s="4" t="s">
        <v>1965</v>
      </c>
      <c r="E462" s="5" t="s">
        <v>19</v>
      </c>
      <c r="F462" s="5" t="s">
        <v>20</v>
      </c>
      <c r="G462" s="5" t="s">
        <v>369</v>
      </c>
      <c r="H462" s="5" t="s">
        <v>1966</v>
      </c>
      <c r="I462" s="5" t="s">
        <v>23</v>
      </c>
      <c r="J462" s="5" t="s">
        <v>24</v>
      </c>
      <c r="K462" s="10" t="str">
        <f t="shared" si="1"/>
        <v>085600462664</v>
      </c>
      <c r="L462" s="10" t="str">
        <f>IFERROR(
VLOOKUP(
TRIM(
IF(ISNUMBER(FIND(",",E462)),
LEFT(E462,FIND(",",E462)-1),
E462
)
),
master!A:B,
2,
FALSE
),
"Belum ada mapping"
)
</f>
        <v>Jawa Tengah</v>
      </c>
      <c r="M462" s="10">
        <f>IFERROR(__xludf.DUMMYFUNCTION("IF(REGEXMATCH(I462,""Cari Kerja""),1,0)
"),1.0)</f>
        <v>1</v>
      </c>
      <c r="N462" s="10">
        <f>IFERROR(__xludf.DUMMYFUNCTION("IF(REGEXMATCH(I462,""Upskill""),1,0)
"),1.0)</f>
        <v>1</v>
      </c>
      <c r="O462" s="10">
        <f>IFERROR(__xludf.DUMMYFUNCTION("IF(REGEXMATCH(I462,""Networking""),1,0)
"),1.0)</f>
        <v>1</v>
      </c>
      <c r="P462" s="10">
        <f>IFERROR(__xludf.DUMMYFUNCTION("IF(REGEXMATCH(I462,""Switch Career""),1,0)
"),0.0)</f>
        <v>0</v>
      </c>
    </row>
    <row r="463" ht="22.5" customHeight="1">
      <c r="A463" s="3">
        <v>46043.41126866898</v>
      </c>
      <c r="B463" s="5" t="s">
        <v>1967</v>
      </c>
      <c r="C463" s="5" t="s">
        <v>1968</v>
      </c>
      <c r="D463" s="4" t="s">
        <v>1969</v>
      </c>
      <c r="E463" s="5" t="s">
        <v>233</v>
      </c>
      <c r="F463" s="5" t="s">
        <v>20</v>
      </c>
      <c r="G463" s="5" t="s">
        <v>21</v>
      </c>
      <c r="H463" s="5" t="s">
        <v>51</v>
      </c>
      <c r="I463" s="5" t="s">
        <v>23</v>
      </c>
      <c r="J463" s="5" t="s">
        <v>24</v>
      </c>
      <c r="K463" s="6" t="str">
        <f t="shared" si="1"/>
        <v>0895622327241</v>
      </c>
      <c r="L463" s="6" t="str">
        <f>IFERROR(
VLOOKUP(
TRIM(
IF(ISNUMBER(FIND(",",E463)),
LEFT(E463,FIND(",",E463)-1),
E463
)
),
master!A:B,
2,
FALSE
),
"Belum ada mapping"
)
</f>
        <v>Banten</v>
      </c>
      <c r="M463" s="6">
        <f>IFERROR(__xludf.DUMMYFUNCTION("IF(REGEXMATCH(I463,""Cari Kerja""),1,0)
"),1.0)</f>
        <v>1</v>
      </c>
      <c r="N463" s="6">
        <f>IFERROR(__xludf.DUMMYFUNCTION("IF(REGEXMATCH(I463,""Upskill""),1,0)
"),1.0)</f>
        <v>1</v>
      </c>
      <c r="O463" s="6">
        <f>IFERROR(__xludf.DUMMYFUNCTION("IF(REGEXMATCH(I463,""Networking""),1,0)
"),1.0)</f>
        <v>1</v>
      </c>
      <c r="P463" s="6">
        <f>IFERROR(__xludf.DUMMYFUNCTION("IF(REGEXMATCH(I463,""Switch Career""),1,0)
"),0.0)</f>
        <v>0</v>
      </c>
    </row>
    <row r="464" ht="22.5" customHeight="1">
      <c r="A464" s="3">
        <v>46041.48897366898</v>
      </c>
      <c r="B464" s="5" t="s">
        <v>1970</v>
      </c>
      <c r="C464" s="5" t="s">
        <v>1971</v>
      </c>
      <c r="D464" s="4" t="s">
        <v>1972</v>
      </c>
      <c r="E464" s="5" t="s">
        <v>158</v>
      </c>
      <c r="F464" s="5" t="s">
        <v>20</v>
      </c>
      <c r="G464" s="5" t="s">
        <v>1973</v>
      </c>
      <c r="H464" s="5" t="s">
        <v>187</v>
      </c>
      <c r="I464" s="5" t="s">
        <v>59</v>
      </c>
      <c r="J464" s="5" t="s">
        <v>24</v>
      </c>
      <c r="K464" s="6" t="str">
        <f t="shared" si="1"/>
        <v>087788263368</v>
      </c>
      <c r="L464" s="6" t="str">
        <f>IFERROR(
VLOOKUP(
TRIM(
IF(ISNUMBER(FIND(",",E464)),
LEFT(E464,FIND(",",E464)-1),
E464
)
),
master!A:B,
2,
FALSE
),
"Belum ada mapping"
)
</f>
        <v>Jawa Barat</v>
      </c>
      <c r="M464" s="6">
        <f>IFERROR(__xludf.DUMMYFUNCTION("IF(REGEXMATCH(I464,""Cari Kerja""),1,0)
"),0.0)</f>
        <v>0</v>
      </c>
      <c r="N464" s="6">
        <f>IFERROR(__xludf.DUMMYFUNCTION("IF(REGEXMATCH(I464,""Upskill""),1,0)
"),1.0)</f>
        <v>1</v>
      </c>
      <c r="O464" s="6">
        <f>IFERROR(__xludf.DUMMYFUNCTION("IF(REGEXMATCH(I464,""Networking""),1,0)
"),1.0)</f>
        <v>1</v>
      </c>
      <c r="P464" s="6">
        <f>IFERROR(__xludf.DUMMYFUNCTION("IF(REGEXMATCH(I464,""Switch Career""),1,0)
"),0.0)</f>
        <v>0</v>
      </c>
    </row>
    <row r="465" ht="22.5" customHeight="1">
      <c r="A465" s="3">
        <v>46051.41474695602</v>
      </c>
      <c r="B465" s="5" t="s">
        <v>1974</v>
      </c>
      <c r="C465" s="5" t="s">
        <v>1975</v>
      </c>
      <c r="D465" s="4" t="s">
        <v>1976</v>
      </c>
      <c r="E465" s="5" t="s">
        <v>35</v>
      </c>
      <c r="F465" s="5" t="s">
        <v>20</v>
      </c>
      <c r="G465" s="5" t="s">
        <v>1977</v>
      </c>
      <c r="H465" s="5" t="s">
        <v>187</v>
      </c>
      <c r="I465" s="5" t="s">
        <v>31</v>
      </c>
      <c r="J465" s="5" t="s">
        <v>24</v>
      </c>
      <c r="K465" s="10" t="str">
        <f t="shared" si="1"/>
        <v>0895422489760</v>
      </c>
      <c r="L465" s="10" t="str">
        <f>IFERROR(
VLOOKUP(
TRIM(
IF(ISNUMBER(FIND(",",E465)),
LEFT(E465,FIND(",",E465)-1),
E465
)
),
master!A:B,
2,
FALSE
),
"Belum ada mapping"
)
</f>
        <v>Jawa Timur</v>
      </c>
      <c r="M465" s="6">
        <f>IFERROR(__xludf.DUMMYFUNCTION("IF(REGEXMATCH(I465,""Cari Kerja""),1,0)
"),1.0)</f>
        <v>1</v>
      </c>
      <c r="N465" s="6">
        <f>IFERROR(__xludf.DUMMYFUNCTION("IF(REGEXMATCH(I465,""Upskill""),1,0)
"),1.0)</f>
        <v>1</v>
      </c>
      <c r="O465" s="6">
        <f>IFERROR(__xludf.DUMMYFUNCTION("IF(REGEXMATCH(I465,""Networking""),1,0)
"),1.0)</f>
        <v>1</v>
      </c>
      <c r="P465" s="6">
        <f>IFERROR(__xludf.DUMMYFUNCTION("IF(REGEXMATCH(I465,""Switch Career""),1,0)
"),1.0)</f>
        <v>1</v>
      </c>
    </row>
    <row r="466" ht="22.5" customHeight="1">
      <c r="A466" s="3">
        <v>46046.81415837963</v>
      </c>
      <c r="B466" s="5" t="s">
        <v>1978</v>
      </c>
      <c r="C466" s="5" t="s">
        <v>1979</v>
      </c>
      <c r="D466" s="4" t="s">
        <v>1980</v>
      </c>
      <c r="E466" s="5" t="s">
        <v>207</v>
      </c>
      <c r="F466" s="5" t="s">
        <v>20</v>
      </c>
      <c r="G466" s="5" t="s">
        <v>1981</v>
      </c>
      <c r="H466" s="5" t="s">
        <v>82</v>
      </c>
      <c r="I466" s="5" t="s">
        <v>15</v>
      </c>
      <c r="J466" s="5" t="s">
        <v>24</v>
      </c>
      <c r="K466" s="6" t="str">
        <f t="shared" si="1"/>
        <v>087784554515</v>
      </c>
      <c r="L466" s="6" t="str">
        <f>IFERROR(
VLOOKUP(
TRIM(
IF(ISNUMBER(FIND(",",E466)),
LEFT(E466,FIND(",",E466)-1),
E466
)
),
master!A:B,
2,
FALSE
),
"Belum ada mapping"
)
</f>
        <v>Jakarta</v>
      </c>
      <c r="M466" s="6">
        <f>IFERROR(__xludf.DUMMYFUNCTION("IF(REGEXMATCH(I466,""Cari Kerja""),1,0)
"),0.0)</f>
        <v>0</v>
      </c>
      <c r="N466" s="6">
        <f>IFERROR(__xludf.DUMMYFUNCTION("IF(REGEXMATCH(I466,""Upskill""),1,0)
"),0.0)</f>
        <v>0</v>
      </c>
      <c r="O466" s="6">
        <f>IFERROR(__xludf.DUMMYFUNCTION("IF(REGEXMATCH(I466,""Networking""),1,0)
"),0.0)</f>
        <v>0</v>
      </c>
      <c r="P466" s="6">
        <f>IFERROR(__xludf.DUMMYFUNCTION("IF(REGEXMATCH(I466,""Switch Career""),1,0)
"),1.0)</f>
        <v>1</v>
      </c>
    </row>
    <row r="467" ht="22.5" customHeight="1">
      <c r="A467" s="7">
        <v>46040.36020177083</v>
      </c>
      <c r="B467" s="8" t="s">
        <v>1982</v>
      </c>
      <c r="C467" s="8" t="s">
        <v>1983</v>
      </c>
      <c r="D467" s="9" t="s">
        <v>1984</v>
      </c>
      <c r="E467" s="8" t="s">
        <v>551</v>
      </c>
      <c r="F467" s="8" t="s">
        <v>20</v>
      </c>
      <c r="G467" s="8" t="s">
        <v>69</v>
      </c>
      <c r="H467" s="8" t="s">
        <v>567</v>
      </c>
      <c r="I467" s="8" t="s">
        <v>130</v>
      </c>
      <c r="J467" s="8" t="s">
        <v>76</v>
      </c>
      <c r="K467" s="6" t="str">
        <f t="shared" si="1"/>
        <v>081356562200</v>
      </c>
      <c r="L467" s="6" t="str">
        <f>IFERROR(
VLOOKUP(
TRIM(
IF(ISNUMBER(FIND(",",E467)),
LEFT(E467,FIND(",",E467)-1),
E467
)
),
master!A:B,
2,
FALSE
),
"Belum ada mapping"
)
</f>
        <v>Jawa Barat</v>
      </c>
      <c r="M467" s="6">
        <f>IFERROR(__xludf.DUMMYFUNCTION("IF(REGEXMATCH(I467,""Cari Kerja""),1,0)
"),1.0)</f>
        <v>1</v>
      </c>
      <c r="N467" s="6">
        <f>IFERROR(__xludf.DUMMYFUNCTION("IF(REGEXMATCH(I467,""Upskill""),1,0)
"),1.0)</f>
        <v>1</v>
      </c>
      <c r="O467" s="6">
        <f>IFERROR(__xludf.DUMMYFUNCTION("IF(REGEXMATCH(I467,""Networking""),1,0)
"),0.0)</f>
        <v>0</v>
      </c>
      <c r="P467" s="6">
        <f>IFERROR(__xludf.DUMMYFUNCTION("IF(REGEXMATCH(I467,""Switch Career""),1,0)
"),0.0)</f>
        <v>0</v>
      </c>
    </row>
    <row r="468" ht="22.5" customHeight="1">
      <c r="A468" s="7">
        <v>46040.50697894676</v>
      </c>
      <c r="B468" s="8" t="s">
        <v>1985</v>
      </c>
      <c r="C468" s="8" t="s">
        <v>1986</v>
      </c>
      <c r="D468" s="9" t="s">
        <v>1987</v>
      </c>
      <c r="E468" s="8" t="s">
        <v>381</v>
      </c>
      <c r="F468" s="8" t="s">
        <v>49</v>
      </c>
      <c r="G468" s="8" t="s">
        <v>945</v>
      </c>
      <c r="H468" s="8" t="s">
        <v>1988</v>
      </c>
      <c r="I468" s="8" t="s">
        <v>154</v>
      </c>
      <c r="J468" s="8" t="s">
        <v>24</v>
      </c>
      <c r="K468" s="6" t="str">
        <f t="shared" si="1"/>
        <v>082254911440</v>
      </c>
      <c r="L468" s="6" t="str">
        <f>IFERROR(
VLOOKUP(
TRIM(
IF(ISNUMBER(FIND(",",E468)),
LEFT(E468,FIND(",",E468)-1),
E468
)
),
master!A:B,
2,
FALSE
),
"Belum ada mapping"
)
</f>
        <v>Kalimantan Tengah </v>
      </c>
      <c r="M468" s="6">
        <f>IFERROR(__xludf.DUMMYFUNCTION("IF(REGEXMATCH(I468,""Cari Kerja""),1,0)
"),0.0)</f>
        <v>0</v>
      </c>
      <c r="N468" s="6">
        <f>IFERROR(__xludf.DUMMYFUNCTION("IF(REGEXMATCH(I468,""Upskill""),1,0)
"),1.0)</f>
        <v>1</v>
      </c>
      <c r="O468" s="6">
        <f>IFERROR(__xludf.DUMMYFUNCTION("IF(REGEXMATCH(I468,""Networking""),1,0)
"),0.0)</f>
        <v>0</v>
      </c>
      <c r="P468" s="6">
        <f>IFERROR(__xludf.DUMMYFUNCTION("IF(REGEXMATCH(I468,""Switch Career""),1,0)
"),1.0)</f>
        <v>1</v>
      </c>
    </row>
    <row r="469" ht="22.5" customHeight="1">
      <c r="A469" s="7">
        <v>46040.41322991898</v>
      </c>
      <c r="B469" s="8" t="s">
        <v>1989</v>
      </c>
      <c r="C469" s="8" t="s">
        <v>1990</v>
      </c>
      <c r="D469" s="9" t="s">
        <v>1991</v>
      </c>
      <c r="E469" s="8" t="s">
        <v>113</v>
      </c>
      <c r="F469" s="8" t="s">
        <v>20</v>
      </c>
      <c r="G469" s="8" t="s">
        <v>69</v>
      </c>
      <c r="H469" s="8" t="s">
        <v>51</v>
      </c>
      <c r="I469" s="8" t="s">
        <v>31</v>
      </c>
      <c r="J469" s="8" t="s">
        <v>24</v>
      </c>
      <c r="K469" s="6" t="str">
        <f t="shared" si="1"/>
        <v>081361535685</v>
      </c>
      <c r="L469" s="6" t="str">
        <f>IFERROR(
VLOOKUP(
TRIM(
IF(ISNUMBER(FIND(",",E469)),
LEFT(E469,FIND(",",E469)-1),
E469
)
),
master!A:B,
2,
FALSE
),
"Belum ada mapping"
)
</f>
        <v>Sumatera Utara</v>
      </c>
      <c r="M469" s="6">
        <f>IFERROR(__xludf.DUMMYFUNCTION("IF(REGEXMATCH(I469,""Cari Kerja""),1,0)
"),1.0)</f>
        <v>1</v>
      </c>
      <c r="N469" s="6">
        <f>IFERROR(__xludf.DUMMYFUNCTION("IF(REGEXMATCH(I469,""Upskill""),1,0)
"),1.0)</f>
        <v>1</v>
      </c>
      <c r="O469" s="6">
        <f>IFERROR(__xludf.DUMMYFUNCTION("IF(REGEXMATCH(I469,""Networking""),1,0)
"),1.0)</f>
        <v>1</v>
      </c>
      <c r="P469" s="6">
        <f>IFERROR(__xludf.DUMMYFUNCTION("IF(REGEXMATCH(I469,""Switch Career""),1,0)
"),1.0)</f>
        <v>1</v>
      </c>
    </row>
    <row r="470" ht="22.5" customHeight="1">
      <c r="A470" s="3">
        <v>46042.377622789354</v>
      </c>
      <c r="B470" s="5" t="s">
        <v>1992</v>
      </c>
      <c r="C470" s="5" t="s">
        <v>1993</v>
      </c>
      <c r="D470" s="4" t="s">
        <v>1994</v>
      </c>
      <c r="E470" s="5" t="s">
        <v>92</v>
      </c>
      <c r="F470" s="5" t="s">
        <v>20</v>
      </c>
      <c r="G470" s="5" t="s">
        <v>1995</v>
      </c>
      <c r="H470" s="5" t="s">
        <v>51</v>
      </c>
      <c r="I470" s="5" t="s">
        <v>23</v>
      </c>
      <c r="J470" s="5" t="s">
        <v>24</v>
      </c>
      <c r="K470" s="6" t="str">
        <f t="shared" si="1"/>
        <v>082299222156</v>
      </c>
      <c r="L470" s="6" t="str">
        <f>IFERROR(
VLOOKUP(
TRIM(
IF(ISNUMBER(FIND(",",E470)),
LEFT(E470,FIND(",",E470)-1),
E470
)
),
master!A:B,
2,
FALSE
),
"Belum ada mapping"
)
</f>
        <v>Jawa Barat</v>
      </c>
      <c r="M470" s="6">
        <f>IFERROR(__xludf.DUMMYFUNCTION("IF(REGEXMATCH(I470,""Cari Kerja""),1,0)
"),1.0)</f>
        <v>1</v>
      </c>
      <c r="N470" s="6">
        <f>IFERROR(__xludf.DUMMYFUNCTION("IF(REGEXMATCH(I470,""Upskill""),1,0)
"),1.0)</f>
        <v>1</v>
      </c>
      <c r="O470" s="6">
        <f>IFERROR(__xludf.DUMMYFUNCTION("IF(REGEXMATCH(I470,""Networking""),1,0)
"),1.0)</f>
        <v>1</v>
      </c>
      <c r="P470" s="6">
        <f>IFERROR(__xludf.DUMMYFUNCTION("IF(REGEXMATCH(I470,""Switch Career""),1,0)
"),0.0)</f>
        <v>0</v>
      </c>
    </row>
    <row r="471" ht="22.5" customHeight="1">
      <c r="A471" s="3">
        <v>46046.465582233795</v>
      </c>
      <c r="B471" s="5" t="s">
        <v>1996</v>
      </c>
      <c r="C471" s="5" t="s">
        <v>1997</v>
      </c>
      <c r="D471" s="4" t="s">
        <v>1998</v>
      </c>
      <c r="E471" s="5" t="s">
        <v>1647</v>
      </c>
      <c r="F471" s="5" t="s">
        <v>20</v>
      </c>
      <c r="G471" s="5" t="s">
        <v>1999</v>
      </c>
      <c r="H471" s="5" t="s">
        <v>51</v>
      </c>
      <c r="I471" s="5" t="s">
        <v>31</v>
      </c>
      <c r="J471" s="5" t="s">
        <v>24</v>
      </c>
      <c r="K471" s="6" t="str">
        <f t="shared" si="1"/>
        <v>082136894156</v>
      </c>
      <c r="L471" s="6" t="str">
        <f>IFERROR(
VLOOKUP(
TRIM(
IF(ISNUMBER(FIND(",",E471)),
LEFT(E471,FIND(",",E471)-1),
E471
)
),
master!A:B,
2,
FALSE
),
"Belum ada mapping"
)
</f>
        <v>Jawa Tengah</v>
      </c>
      <c r="M471" s="6">
        <f>IFERROR(__xludf.DUMMYFUNCTION("IF(REGEXMATCH(I471,""Cari Kerja""),1,0)
"),1.0)</f>
        <v>1</v>
      </c>
      <c r="N471" s="6">
        <f>IFERROR(__xludf.DUMMYFUNCTION("IF(REGEXMATCH(I471,""Upskill""),1,0)
"),1.0)</f>
        <v>1</v>
      </c>
      <c r="O471" s="6">
        <f>IFERROR(__xludf.DUMMYFUNCTION("IF(REGEXMATCH(I471,""Networking""),1,0)
"),1.0)</f>
        <v>1</v>
      </c>
      <c r="P471" s="6">
        <f>IFERROR(__xludf.DUMMYFUNCTION("IF(REGEXMATCH(I471,""Switch Career""),1,0)
"),1.0)</f>
        <v>1</v>
      </c>
    </row>
    <row r="472" ht="22.5" customHeight="1">
      <c r="A472" s="3">
        <v>46043.60115996528</v>
      </c>
      <c r="B472" s="5" t="s">
        <v>2000</v>
      </c>
      <c r="C472" s="5" t="s">
        <v>2001</v>
      </c>
      <c r="D472" s="4" t="s">
        <v>2002</v>
      </c>
      <c r="E472" s="5" t="s">
        <v>207</v>
      </c>
      <c r="F472" s="5" t="s">
        <v>20</v>
      </c>
      <c r="G472" s="5" t="s">
        <v>2003</v>
      </c>
      <c r="H472" s="5" t="s">
        <v>463</v>
      </c>
      <c r="I472" s="5" t="s">
        <v>31</v>
      </c>
      <c r="J472" s="5" t="s">
        <v>24</v>
      </c>
      <c r="K472" s="6" t="str">
        <f t="shared" si="1"/>
        <v>087780592185</v>
      </c>
      <c r="L472" s="6" t="str">
        <f>IFERROR(
VLOOKUP(
TRIM(
IF(ISNUMBER(FIND(",",E472)),
LEFT(E472,FIND(",",E472)-1),
E472
)
),
master!A:B,
2,
FALSE
),
"Belum ada mapping"
)
</f>
        <v>Jakarta</v>
      </c>
      <c r="M472" s="6">
        <f>IFERROR(__xludf.DUMMYFUNCTION("IF(REGEXMATCH(I472,""Cari Kerja""),1,0)
"),1.0)</f>
        <v>1</v>
      </c>
      <c r="N472" s="6">
        <f>IFERROR(__xludf.DUMMYFUNCTION("IF(REGEXMATCH(I472,""Upskill""),1,0)
"),1.0)</f>
        <v>1</v>
      </c>
      <c r="O472" s="6">
        <f>IFERROR(__xludf.DUMMYFUNCTION("IF(REGEXMATCH(I472,""Networking""),1,0)
"),1.0)</f>
        <v>1</v>
      </c>
      <c r="P472" s="6">
        <f>IFERROR(__xludf.DUMMYFUNCTION("IF(REGEXMATCH(I472,""Switch Career""),1,0)
"),1.0)</f>
        <v>1</v>
      </c>
    </row>
    <row r="473" ht="22.5" customHeight="1">
      <c r="A473" s="3">
        <v>46042.55691185185</v>
      </c>
      <c r="B473" s="5" t="s">
        <v>2004</v>
      </c>
      <c r="C473" s="5" t="s">
        <v>2005</v>
      </c>
      <c r="D473" s="4" t="s">
        <v>2006</v>
      </c>
      <c r="E473" s="5" t="s">
        <v>2007</v>
      </c>
      <c r="F473" s="5" t="s">
        <v>20</v>
      </c>
      <c r="G473" s="5" t="s">
        <v>267</v>
      </c>
      <c r="H473" s="5" t="s">
        <v>51</v>
      </c>
      <c r="I473" s="5" t="s">
        <v>23</v>
      </c>
      <c r="J473" s="5" t="s">
        <v>38</v>
      </c>
      <c r="K473" s="6" t="str">
        <f t="shared" si="1"/>
        <v>081398945500</v>
      </c>
      <c r="L473" s="6" t="str">
        <f>IFERROR(
VLOOKUP(
TRIM(
IF(ISNUMBER(FIND(",",E473)),
LEFT(E473,FIND(",",E473)-1),
E473
)
),
master!A:B,
2,
FALSE
),
"Belum ada mapping"
)
</f>
        <v>Jawa Barat</v>
      </c>
      <c r="M473" s="6">
        <f>IFERROR(__xludf.DUMMYFUNCTION("IF(REGEXMATCH(I473,""Cari Kerja""),1,0)
"),1.0)</f>
        <v>1</v>
      </c>
      <c r="N473" s="6">
        <f>IFERROR(__xludf.DUMMYFUNCTION("IF(REGEXMATCH(I473,""Upskill""),1,0)
"),1.0)</f>
        <v>1</v>
      </c>
      <c r="O473" s="6">
        <f>IFERROR(__xludf.DUMMYFUNCTION("IF(REGEXMATCH(I473,""Networking""),1,0)
"),1.0)</f>
        <v>1</v>
      </c>
      <c r="P473" s="6">
        <f>IFERROR(__xludf.DUMMYFUNCTION("IF(REGEXMATCH(I473,""Switch Career""),1,0)
"),0.0)</f>
        <v>0</v>
      </c>
    </row>
    <row r="474" ht="22.5" customHeight="1">
      <c r="A474" s="3">
        <v>46050.50340119213</v>
      </c>
      <c r="B474" s="5" t="s">
        <v>2008</v>
      </c>
      <c r="C474" s="5" t="s">
        <v>2009</v>
      </c>
      <c r="D474" s="4" t="s">
        <v>2010</v>
      </c>
      <c r="E474" s="5" t="s">
        <v>207</v>
      </c>
      <c r="F474" s="5" t="s">
        <v>20</v>
      </c>
      <c r="G474" s="5" t="s">
        <v>2011</v>
      </c>
      <c r="H474" s="5" t="s">
        <v>2012</v>
      </c>
      <c r="I474" s="5" t="s">
        <v>23</v>
      </c>
      <c r="J474" s="5" t="s">
        <v>24</v>
      </c>
      <c r="K474" s="10" t="str">
        <f t="shared" si="1"/>
        <v>087886513030</v>
      </c>
      <c r="L474" s="10" t="str">
        <f>IFERROR(
VLOOKUP(
TRIM(
IF(ISNUMBER(FIND(",",E474)),
LEFT(E474,FIND(",",E474)-1),
E474
)
),
master!A:B,
2,
FALSE
),
"Belum ada mapping"
)
</f>
        <v>Jakarta</v>
      </c>
      <c r="M474" s="6">
        <f>IFERROR(__xludf.DUMMYFUNCTION("IF(REGEXMATCH(I474,""Cari Kerja""),1,0)
"),1.0)</f>
        <v>1</v>
      </c>
      <c r="N474" s="6">
        <f>IFERROR(__xludf.DUMMYFUNCTION("IF(REGEXMATCH(I474,""Upskill""),1,0)
"),1.0)</f>
        <v>1</v>
      </c>
      <c r="O474" s="6">
        <f>IFERROR(__xludf.DUMMYFUNCTION("IF(REGEXMATCH(I474,""Networking""),1,0)
"),1.0)</f>
        <v>1</v>
      </c>
      <c r="P474" s="6">
        <f>IFERROR(__xludf.DUMMYFUNCTION("IF(REGEXMATCH(I474,""Switch Career""),1,0)
"),0.0)</f>
        <v>0</v>
      </c>
    </row>
    <row r="475" ht="22.5" customHeight="1">
      <c r="A475" s="3">
        <v>46042.37151981481</v>
      </c>
      <c r="B475" s="5" t="s">
        <v>2013</v>
      </c>
      <c r="C475" s="5" t="s">
        <v>2014</v>
      </c>
      <c r="D475" s="4" t="s">
        <v>2015</v>
      </c>
      <c r="E475" s="5" t="s">
        <v>437</v>
      </c>
      <c r="F475" s="5" t="s">
        <v>20</v>
      </c>
      <c r="G475" s="5" t="s">
        <v>2016</v>
      </c>
      <c r="H475" s="5" t="s">
        <v>51</v>
      </c>
      <c r="I475" s="5" t="s">
        <v>31</v>
      </c>
      <c r="J475" s="5" t="s">
        <v>24</v>
      </c>
      <c r="K475" s="6" t="str">
        <f t="shared" si="1"/>
        <v>082140998539</v>
      </c>
      <c r="L475" s="6" t="str">
        <f>IFERROR(
VLOOKUP(
TRIM(
IF(ISNUMBER(FIND(",",E475)),
LEFT(E475,FIND(",",E475)-1),
E475
)
),
master!A:B,
2,
FALSE
),
"Belum ada mapping"
)
</f>
        <v>Jakarta</v>
      </c>
      <c r="M475" s="6">
        <f>IFERROR(__xludf.DUMMYFUNCTION("IF(REGEXMATCH(I475,""Cari Kerja""),1,0)
"),1.0)</f>
        <v>1</v>
      </c>
      <c r="N475" s="6">
        <f>IFERROR(__xludf.DUMMYFUNCTION("IF(REGEXMATCH(I475,""Upskill""),1,0)
"),1.0)</f>
        <v>1</v>
      </c>
      <c r="O475" s="6">
        <f>IFERROR(__xludf.DUMMYFUNCTION("IF(REGEXMATCH(I475,""Networking""),1,0)
"),1.0)</f>
        <v>1</v>
      </c>
      <c r="P475" s="6">
        <f>IFERROR(__xludf.DUMMYFUNCTION("IF(REGEXMATCH(I475,""Switch Career""),1,0)
"),1.0)</f>
        <v>1</v>
      </c>
    </row>
    <row r="476" ht="22.5" customHeight="1">
      <c r="A476" s="3">
        <v>46048.5938565625</v>
      </c>
      <c r="B476" s="5" t="s">
        <v>2017</v>
      </c>
      <c r="C476" s="5" t="s">
        <v>2018</v>
      </c>
      <c r="D476" s="4" t="s">
        <v>2019</v>
      </c>
      <c r="E476" s="5" t="s">
        <v>2020</v>
      </c>
      <c r="F476" s="5" t="s">
        <v>49</v>
      </c>
      <c r="G476" s="5" t="s">
        <v>2021</v>
      </c>
      <c r="H476" s="5" t="s">
        <v>209</v>
      </c>
      <c r="I476" s="5" t="s">
        <v>31</v>
      </c>
      <c r="J476" s="5" t="s">
        <v>24</v>
      </c>
      <c r="K476" s="6" t="str">
        <f t="shared" si="1"/>
        <v>089656568562</v>
      </c>
      <c r="L476" s="6" t="str">
        <f>IFERROR(
VLOOKUP(
TRIM(
IF(ISNUMBER(FIND(",",E476)),
LEFT(E476,FIND(",",E476)-1),
E476
)
),
master!A:B,
2,
FALSE
),
"Belum ada mapping"
)
</f>
        <v>Jawa Barat</v>
      </c>
      <c r="M476" s="6">
        <f>IFERROR(__xludf.DUMMYFUNCTION("IF(REGEXMATCH(I476,""Cari Kerja""),1,0)
"),1.0)</f>
        <v>1</v>
      </c>
      <c r="N476" s="6">
        <f>IFERROR(__xludf.DUMMYFUNCTION("IF(REGEXMATCH(I476,""Upskill""),1,0)
"),1.0)</f>
        <v>1</v>
      </c>
      <c r="O476" s="6">
        <f>IFERROR(__xludf.DUMMYFUNCTION("IF(REGEXMATCH(I476,""Networking""),1,0)
"),1.0)</f>
        <v>1</v>
      </c>
      <c r="P476" s="6">
        <f>IFERROR(__xludf.DUMMYFUNCTION("IF(REGEXMATCH(I476,""Switch Career""),1,0)
"),1.0)</f>
        <v>1</v>
      </c>
    </row>
    <row r="477" ht="22.5" customHeight="1">
      <c r="A477" s="7">
        <v>46041.403115925925</v>
      </c>
      <c r="B477" s="8" t="s">
        <v>2022</v>
      </c>
      <c r="C477" s="8" t="s">
        <v>2023</v>
      </c>
      <c r="D477" s="9" t="s">
        <v>2024</v>
      </c>
      <c r="E477" s="8" t="s">
        <v>207</v>
      </c>
      <c r="F477" s="8" t="s">
        <v>49</v>
      </c>
      <c r="G477" s="8" t="s">
        <v>2025</v>
      </c>
      <c r="H477" s="8" t="s">
        <v>51</v>
      </c>
      <c r="I477" s="8" t="s">
        <v>23</v>
      </c>
      <c r="J477" s="8" t="s">
        <v>24</v>
      </c>
      <c r="K477" s="6" t="str">
        <f t="shared" si="1"/>
        <v>081314696082</v>
      </c>
      <c r="L477" s="6" t="str">
        <f>IFERROR(
VLOOKUP(
TRIM(
IF(ISNUMBER(FIND(",",E477)),
LEFT(E477,FIND(",",E477)-1),
E477
)
),
master!A:B,
2,
FALSE
),
"Belum ada mapping"
)
</f>
        <v>Jakarta</v>
      </c>
      <c r="M477" s="6">
        <f>IFERROR(__xludf.DUMMYFUNCTION("IF(REGEXMATCH(I477,""Cari Kerja""),1,0)
"),1.0)</f>
        <v>1</v>
      </c>
      <c r="N477" s="6">
        <f>IFERROR(__xludf.DUMMYFUNCTION("IF(REGEXMATCH(I477,""Upskill""),1,0)
"),1.0)</f>
        <v>1</v>
      </c>
      <c r="O477" s="6">
        <f>IFERROR(__xludf.DUMMYFUNCTION("IF(REGEXMATCH(I477,""Networking""),1,0)
"),1.0)</f>
        <v>1</v>
      </c>
      <c r="P477" s="6">
        <f>IFERROR(__xludf.DUMMYFUNCTION("IF(REGEXMATCH(I477,""Switch Career""),1,0)
"),0.0)</f>
        <v>0</v>
      </c>
    </row>
    <row r="478" ht="22.5" customHeight="1">
      <c r="A478" s="7">
        <v>46040.41799972222</v>
      </c>
      <c r="B478" s="8" t="s">
        <v>2026</v>
      </c>
      <c r="C478" s="8" t="s">
        <v>2027</v>
      </c>
      <c r="D478" s="9" t="s">
        <v>2028</v>
      </c>
      <c r="E478" s="8" t="s">
        <v>2029</v>
      </c>
      <c r="F478" s="8" t="s">
        <v>20</v>
      </c>
      <c r="G478" s="8" t="s">
        <v>69</v>
      </c>
      <c r="H478" s="8" t="s">
        <v>51</v>
      </c>
      <c r="I478" s="8" t="s">
        <v>23</v>
      </c>
      <c r="J478" s="8" t="s">
        <v>24</v>
      </c>
      <c r="K478" s="6" t="str">
        <f t="shared" si="1"/>
        <v>082236326082</v>
      </c>
      <c r="L478" s="6" t="str">
        <f>IFERROR(
VLOOKUP(
TRIM(
IF(ISNUMBER(FIND(",",E478)),
LEFT(E478,FIND(",",E478)-1),
E478
)
),
master!A:B,
2,
FALSE
),
"Belum ada mapping"
)
</f>
        <v>Jawa Tengah</v>
      </c>
      <c r="M478" s="6">
        <f>IFERROR(__xludf.DUMMYFUNCTION("IF(REGEXMATCH(I478,""Cari Kerja""),1,0)
"),1.0)</f>
        <v>1</v>
      </c>
      <c r="N478" s="6">
        <f>IFERROR(__xludf.DUMMYFUNCTION("IF(REGEXMATCH(I478,""Upskill""),1,0)
"),1.0)</f>
        <v>1</v>
      </c>
      <c r="O478" s="6">
        <f>IFERROR(__xludf.DUMMYFUNCTION("IF(REGEXMATCH(I478,""Networking""),1,0)
"),1.0)</f>
        <v>1</v>
      </c>
      <c r="P478" s="6">
        <f>IFERROR(__xludf.DUMMYFUNCTION("IF(REGEXMATCH(I478,""Switch Career""),1,0)
"),0.0)</f>
        <v>0</v>
      </c>
    </row>
    <row r="479" ht="22.5" customHeight="1">
      <c r="A479" s="3">
        <v>46051.41347896991</v>
      </c>
      <c r="B479" s="5" t="s">
        <v>2030</v>
      </c>
      <c r="C479" s="5" t="s">
        <v>2031</v>
      </c>
      <c r="D479" s="4" t="s">
        <v>2032</v>
      </c>
      <c r="E479" s="5" t="s">
        <v>333</v>
      </c>
      <c r="F479" s="5" t="s">
        <v>20</v>
      </c>
      <c r="G479" s="5" t="s">
        <v>267</v>
      </c>
      <c r="H479" s="5" t="s">
        <v>1958</v>
      </c>
      <c r="I479" s="5" t="s">
        <v>13</v>
      </c>
      <c r="J479" s="5" t="s">
        <v>24</v>
      </c>
      <c r="K479" s="10" t="str">
        <f t="shared" si="1"/>
        <v>089678228489</v>
      </c>
      <c r="L479" s="10" t="str">
        <f>IFERROR(
VLOOKUP(
TRIM(
IF(ISNUMBER(FIND(",",E479)),
LEFT(E479,FIND(",",E479)-1),
E479
)
),
master!A:B,
2,
FALSE
),
"Belum ada mapping"
)
</f>
        <v>Jawa Timur</v>
      </c>
      <c r="M479" s="6">
        <f>IFERROR(__xludf.DUMMYFUNCTION("IF(REGEXMATCH(I479,""Cari Kerja""),1,0)
"),0.0)</f>
        <v>0</v>
      </c>
      <c r="N479" s="6">
        <f>IFERROR(__xludf.DUMMYFUNCTION("IF(REGEXMATCH(I479,""Upskill""),1,0)
"),1.0)</f>
        <v>1</v>
      </c>
      <c r="O479" s="6">
        <f>IFERROR(__xludf.DUMMYFUNCTION("IF(REGEXMATCH(I479,""Networking""),1,0)
"),0.0)</f>
        <v>0</v>
      </c>
      <c r="P479" s="6">
        <f>IFERROR(__xludf.DUMMYFUNCTION("IF(REGEXMATCH(I479,""Switch Career""),1,0)
"),0.0)</f>
        <v>0</v>
      </c>
    </row>
    <row r="480" ht="22.5" customHeight="1">
      <c r="A480" s="3">
        <v>46046.37655513889</v>
      </c>
      <c r="B480" s="5" t="s">
        <v>2033</v>
      </c>
      <c r="C480" s="5" t="s">
        <v>2034</v>
      </c>
      <c r="D480" s="4" t="s">
        <v>2035</v>
      </c>
      <c r="E480" s="5" t="s">
        <v>207</v>
      </c>
      <c r="F480" s="5" t="s">
        <v>49</v>
      </c>
      <c r="G480" s="5" t="s">
        <v>69</v>
      </c>
      <c r="H480" s="5" t="s">
        <v>209</v>
      </c>
      <c r="I480" s="5" t="s">
        <v>59</v>
      </c>
      <c r="J480" s="5" t="s">
        <v>24</v>
      </c>
      <c r="K480" s="6" t="str">
        <f t="shared" si="1"/>
        <v>082319236360</v>
      </c>
      <c r="L480" s="6" t="str">
        <f>IFERROR(
VLOOKUP(
TRIM(
IF(ISNUMBER(FIND(",",E480)),
LEFT(E480,FIND(",",E480)-1),
E480
)
),
master!A:B,
2,
FALSE
),
"Belum ada mapping"
)
</f>
        <v>Jakarta</v>
      </c>
      <c r="M480" s="6">
        <f>IFERROR(__xludf.DUMMYFUNCTION("IF(REGEXMATCH(I480,""Cari Kerja""),1,0)
"),0.0)</f>
        <v>0</v>
      </c>
      <c r="N480" s="6">
        <f>IFERROR(__xludf.DUMMYFUNCTION("IF(REGEXMATCH(I480,""Upskill""),1,0)
"),1.0)</f>
        <v>1</v>
      </c>
      <c r="O480" s="6">
        <f>IFERROR(__xludf.DUMMYFUNCTION("IF(REGEXMATCH(I480,""Networking""),1,0)
"),1.0)</f>
        <v>1</v>
      </c>
      <c r="P480" s="6">
        <f>IFERROR(__xludf.DUMMYFUNCTION("IF(REGEXMATCH(I480,""Switch Career""),1,0)
"),0.0)</f>
        <v>0</v>
      </c>
    </row>
    <row r="481" ht="22.5" customHeight="1">
      <c r="A481" s="3">
        <v>46043.31844736111</v>
      </c>
      <c r="B481" s="5" t="s">
        <v>2036</v>
      </c>
      <c r="C481" s="5" t="s">
        <v>2037</v>
      </c>
      <c r="D481" s="4" t="s">
        <v>2038</v>
      </c>
      <c r="E481" s="5" t="s">
        <v>2039</v>
      </c>
      <c r="F481" s="5" t="s">
        <v>20</v>
      </c>
      <c r="G481" s="5" t="s">
        <v>2040</v>
      </c>
      <c r="H481" s="5" t="s">
        <v>30</v>
      </c>
      <c r="I481" s="5" t="s">
        <v>13</v>
      </c>
      <c r="J481" s="5" t="s">
        <v>38</v>
      </c>
      <c r="K481" s="6" t="str">
        <f t="shared" si="1"/>
        <v>085739676260</v>
      </c>
      <c r="L481" s="6" t="str">
        <f>IFERROR(
VLOOKUP(
TRIM(
IF(ISNUMBER(FIND(",",E481)),
LEFT(E481,FIND(",",E481)-1),
E481
)
),
master!A:B,
2,
FALSE
),
"Belum ada mapping"
)
</f>
        <v>Jawa Timur</v>
      </c>
      <c r="M481" s="6">
        <f>IFERROR(__xludf.DUMMYFUNCTION("IF(REGEXMATCH(I481,""Cari Kerja""),1,0)
"),0.0)</f>
        <v>0</v>
      </c>
      <c r="N481" s="6">
        <f>IFERROR(__xludf.DUMMYFUNCTION("IF(REGEXMATCH(I481,""Upskill""),1,0)
"),1.0)</f>
        <v>1</v>
      </c>
      <c r="O481" s="6">
        <f>IFERROR(__xludf.DUMMYFUNCTION("IF(REGEXMATCH(I481,""Networking""),1,0)
"),0.0)</f>
        <v>0</v>
      </c>
      <c r="P481" s="6">
        <f>IFERROR(__xludf.DUMMYFUNCTION("IF(REGEXMATCH(I481,""Switch Career""),1,0)
"),0.0)</f>
        <v>0</v>
      </c>
    </row>
    <row r="482" ht="22.5" customHeight="1">
      <c r="A482" s="3">
        <v>46046.89820574074</v>
      </c>
      <c r="B482" s="5" t="s">
        <v>2041</v>
      </c>
      <c r="C482" s="5" t="s">
        <v>2042</v>
      </c>
      <c r="D482" s="4" t="s">
        <v>2043</v>
      </c>
      <c r="E482" s="5" t="s">
        <v>56</v>
      </c>
      <c r="F482" s="5" t="s">
        <v>20</v>
      </c>
      <c r="G482" s="5" t="s">
        <v>69</v>
      </c>
      <c r="H482" s="5" t="s">
        <v>181</v>
      </c>
      <c r="I482" s="5" t="s">
        <v>52</v>
      </c>
      <c r="J482" s="5" t="s">
        <v>24</v>
      </c>
      <c r="K482" s="6" t="str">
        <f t="shared" si="1"/>
        <v>089602817633</v>
      </c>
      <c r="L482" s="6" t="str">
        <f>IFERROR(
VLOOKUP(
TRIM(
IF(ISNUMBER(FIND(",",E482)),
LEFT(E482,FIND(",",E482)-1),
E482
)
),
master!A:B,
2,
FALSE
),
"Belum ada mapping"
)
</f>
        <v>Banten</v>
      </c>
      <c r="M482" s="6">
        <f>IFERROR(__xludf.DUMMYFUNCTION("IF(REGEXMATCH(I482,""Cari Kerja""),1,0)
"),0.0)</f>
        <v>0</v>
      </c>
      <c r="N482" s="6">
        <f>IFERROR(__xludf.DUMMYFUNCTION("IF(REGEXMATCH(I482,""Upskill""),1,0)
"),1.0)</f>
        <v>1</v>
      </c>
      <c r="O482" s="6">
        <f>IFERROR(__xludf.DUMMYFUNCTION("IF(REGEXMATCH(I482,""Networking""),1,0)
"),1.0)</f>
        <v>1</v>
      </c>
      <c r="P482" s="6">
        <f>IFERROR(__xludf.DUMMYFUNCTION("IF(REGEXMATCH(I482,""Switch Career""),1,0)
"),1.0)</f>
        <v>1</v>
      </c>
    </row>
    <row r="483" ht="22.5" customHeight="1">
      <c r="A483" s="3">
        <v>46042.29667790509</v>
      </c>
      <c r="B483" s="5" t="s">
        <v>2044</v>
      </c>
      <c r="C483" s="5" t="s">
        <v>2045</v>
      </c>
      <c r="D483" s="4" t="s">
        <v>2046</v>
      </c>
      <c r="E483" s="5" t="s">
        <v>2047</v>
      </c>
      <c r="F483" s="5" t="s">
        <v>20</v>
      </c>
      <c r="G483" s="5" t="s">
        <v>656</v>
      </c>
      <c r="H483" s="5" t="s">
        <v>198</v>
      </c>
      <c r="I483" s="5" t="s">
        <v>23</v>
      </c>
      <c r="J483" s="5" t="s">
        <v>76</v>
      </c>
      <c r="K483" s="6" t="str">
        <f t="shared" si="1"/>
        <v>085853729937</v>
      </c>
      <c r="L483" s="6" t="str">
        <f>IFERROR(
VLOOKUP(
TRIM(
IF(ISNUMBER(FIND(",",E483)),
LEFT(E483,FIND(",",E483)-1),
E483
)
),
master!A:B,
2,
FALSE
),
"Belum ada mapping"
)
</f>
        <v>Jawa Timur</v>
      </c>
      <c r="M483" s="6">
        <f>IFERROR(__xludf.DUMMYFUNCTION("IF(REGEXMATCH(I483,""Cari Kerja""),1,0)
"),1.0)</f>
        <v>1</v>
      </c>
      <c r="N483" s="6">
        <f>IFERROR(__xludf.DUMMYFUNCTION("IF(REGEXMATCH(I483,""Upskill""),1,0)
"),1.0)</f>
        <v>1</v>
      </c>
      <c r="O483" s="6">
        <f>IFERROR(__xludf.DUMMYFUNCTION("IF(REGEXMATCH(I483,""Networking""),1,0)
"),1.0)</f>
        <v>1</v>
      </c>
      <c r="P483" s="6">
        <f>IFERROR(__xludf.DUMMYFUNCTION("IF(REGEXMATCH(I483,""Switch Career""),1,0)
"),0.0)</f>
        <v>0</v>
      </c>
    </row>
    <row r="484" ht="22.5" customHeight="1">
      <c r="A484" s="3">
        <v>46043.26126305555</v>
      </c>
      <c r="B484" s="5" t="s">
        <v>2048</v>
      </c>
      <c r="C484" s="5" t="s">
        <v>2049</v>
      </c>
      <c r="D484" s="4" t="s">
        <v>2050</v>
      </c>
      <c r="E484" s="5" t="s">
        <v>2051</v>
      </c>
      <c r="F484" s="5" t="s">
        <v>20</v>
      </c>
      <c r="G484" s="5" t="s">
        <v>69</v>
      </c>
      <c r="H484" s="5" t="s">
        <v>176</v>
      </c>
      <c r="I484" s="5" t="s">
        <v>13</v>
      </c>
      <c r="J484" s="5" t="s">
        <v>38</v>
      </c>
      <c r="K484" s="6" t="str">
        <f t="shared" si="1"/>
        <v>085816843277</v>
      </c>
      <c r="L484" s="6" t="str">
        <f>IFERROR(
VLOOKUP(
TRIM(
IF(ISNUMBER(FIND(",",E484)),
LEFT(E484,FIND(",",E484)-1),
E484
)
),
master!A:B,
2,
FALSE
),
"Belum ada mapping"
)
</f>
        <v>Jawa Timur</v>
      </c>
      <c r="M484" s="6">
        <f>IFERROR(__xludf.DUMMYFUNCTION("IF(REGEXMATCH(I484,""Cari Kerja""),1,0)
"),0.0)</f>
        <v>0</v>
      </c>
      <c r="N484" s="6">
        <f>IFERROR(__xludf.DUMMYFUNCTION("IF(REGEXMATCH(I484,""Upskill""),1,0)
"),1.0)</f>
        <v>1</v>
      </c>
      <c r="O484" s="6">
        <f>IFERROR(__xludf.DUMMYFUNCTION("IF(REGEXMATCH(I484,""Networking""),1,0)
"),0.0)</f>
        <v>0</v>
      </c>
      <c r="P484" s="6">
        <f>IFERROR(__xludf.DUMMYFUNCTION("IF(REGEXMATCH(I484,""Switch Career""),1,0)
"),0.0)</f>
        <v>0</v>
      </c>
    </row>
    <row r="485" ht="22.5" customHeight="1">
      <c r="A485" s="7">
        <v>46040.35757479166</v>
      </c>
      <c r="B485" s="8" t="s">
        <v>2052</v>
      </c>
      <c r="C485" s="8" t="s">
        <v>2053</v>
      </c>
      <c r="D485" s="9" t="s">
        <v>2054</v>
      </c>
      <c r="E485" s="8" t="s">
        <v>1600</v>
      </c>
      <c r="F485" s="8" t="s">
        <v>20</v>
      </c>
      <c r="G485" s="8" t="s">
        <v>69</v>
      </c>
      <c r="H485" s="8" t="s">
        <v>1528</v>
      </c>
      <c r="I485" s="8" t="s">
        <v>130</v>
      </c>
      <c r="J485" s="8" t="s">
        <v>24</v>
      </c>
      <c r="K485" s="6" t="str">
        <f t="shared" si="1"/>
        <v>081549115204</v>
      </c>
      <c r="L485" s="6" t="str">
        <f>IFERROR(
VLOOKUP(
TRIM(
IF(ISNUMBER(FIND(",",E485)),
LEFT(E485,FIND(",",E485)-1),
E485
)
),
master!A:B,
2,
FALSE
),
"Belum ada mapping"
)
</f>
        <v>Kalimantan Selatan</v>
      </c>
      <c r="M485" s="6">
        <f>IFERROR(__xludf.DUMMYFUNCTION("IF(REGEXMATCH(I485,""Cari Kerja""),1,0)
"),1.0)</f>
        <v>1</v>
      </c>
      <c r="N485" s="6">
        <f>IFERROR(__xludf.DUMMYFUNCTION("IF(REGEXMATCH(I485,""Upskill""),1,0)
"),1.0)</f>
        <v>1</v>
      </c>
      <c r="O485" s="6">
        <f>IFERROR(__xludf.DUMMYFUNCTION("IF(REGEXMATCH(I485,""Networking""),1,0)
"),0.0)</f>
        <v>0</v>
      </c>
      <c r="P485" s="6">
        <f>IFERROR(__xludf.DUMMYFUNCTION("IF(REGEXMATCH(I485,""Switch Career""),1,0)
"),0.0)</f>
        <v>0</v>
      </c>
    </row>
    <row r="486" ht="22.5" customHeight="1">
      <c r="A486" s="7">
        <v>46040.41933962963</v>
      </c>
      <c r="B486" s="8" t="s">
        <v>2055</v>
      </c>
      <c r="C486" s="8" t="s">
        <v>2056</v>
      </c>
      <c r="D486" s="9" t="s">
        <v>2057</v>
      </c>
      <c r="E486" s="8" t="s">
        <v>1617</v>
      </c>
      <c r="F486" s="8" t="s">
        <v>20</v>
      </c>
      <c r="G486" s="8" t="s">
        <v>2058</v>
      </c>
      <c r="H486" s="8" t="s">
        <v>93</v>
      </c>
      <c r="I486" s="8" t="s">
        <v>23</v>
      </c>
      <c r="J486" s="8" t="s">
        <v>24</v>
      </c>
      <c r="K486" s="6" t="str">
        <f t="shared" si="1"/>
        <v>083176593757</v>
      </c>
      <c r="L486" s="6" t="str">
        <f>IFERROR(
VLOOKUP(
TRIM(
IF(ISNUMBER(FIND(",",E486)),
LEFT(E486,FIND(",",E486)-1),
E486
)
),
master!A:B,
2,
FALSE
),
"Belum ada mapping"
)
</f>
        <v>Jakarta</v>
      </c>
      <c r="M486" s="6">
        <f>IFERROR(__xludf.DUMMYFUNCTION("IF(REGEXMATCH(I486,""Cari Kerja""),1,0)
"),1.0)</f>
        <v>1</v>
      </c>
      <c r="N486" s="6">
        <f>IFERROR(__xludf.DUMMYFUNCTION("IF(REGEXMATCH(I486,""Upskill""),1,0)
"),1.0)</f>
        <v>1</v>
      </c>
      <c r="O486" s="6">
        <f>IFERROR(__xludf.DUMMYFUNCTION("IF(REGEXMATCH(I486,""Networking""),1,0)
"),1.0)</f>
        <v>1</v>
      </c>
      <c r="P486" s="6">
        <f>IFERROR(__xludf.DUMMYFUNCTION("IF(REGEXMATCH(I486,""Switch Career""),1,0)
"),0.0)</f>
        <v>0</v>
      </c>
    </row>
    <row r="487" ht="22.5" customHeight="1">
      <c r="A487" s="3">
        <v>46046.61109320602</v>
      </c>
      <c r="B487" s="5" t="s">
        <v>2059</v>
      </c>
      <c r="C487" s="5" t="s">
        <v>2060</v>
      </c>
      <c r="D487" s="4" t="s">
        <v>2061</v>
      </c>
      <c r="E487" s="5" t="s">
        <v>1837</v>
      </c>
      <c r="F487" s="5" t="s">
        <v>20</v>
      </c>
      <c r="G487" s="5" t="s">
        <v>69</v>
      </c>
      <c r="H487" s="5" t="s">
        <v>463</v>
      </c>
      <c r="I487" s="5" t="s">
        <v>59</v>
      </c>
      <c r="J487" s="5" t="s">
        <v>38</v>
      </c>
      <c r="K487" s="6" t="str">
        <f t="shared" si="1"/>
        <v>085773635021</v>
      </c>
      <c r="L487" s="6" t="str">
        <f>IFERROR(
VLOOKUP(
TRIM(
IF(ISNUMBER(FIND(",",E487)),
LEFT(E487,FIND(",",E487)-1),
E487
)
),
master!A:B,
2,
FALSE
),
"Belum ada mapping"
)
</f>
        <v>DI Yogyakarta</v>
      </c>
      <c r="M487" s="6">
        <f>IFERROR(__xludf.DUMMYFUNCTION("IF(REGEXMATCH(I487,""Cari Kerja""),1,0)
"),0.0)</f>
        <v>0</v>
      </c>
      <c r="N487" s="6">
        <f>IFERROR(__xludf.DUMMYFUNCTION("IF(REGEXMATCH(I487,""Upskill""),1,0)
"),1.0)</f>
        <v>1</v>
      </c>
      <c r="O487" s="6">
        <f>IFERROR(__xludf.DUMMYFUNCTION("IF(REGEXMATCH(I487,""Networking""),1,0)
"),1.0)</f>
        <v>1</v>
      </c>
      <c r="P487" s="6">
        <f>IFERROR(__xludf.DUMMYFUNCTION("IF(REGEXMATCH(I487,""Switch Career""),1,0)
"),0.0)</f>
        <v>0</v>
      </c>
    </row>
    <row r="488" ht="22.5" customHeight="1">
      <c r="A488" s="7">
        <v>46040.42775055555</v>
      </c>
      <c r="B488" s="8" t="s">
        <v>2062</v>
      </c>
      <c r="C488" s="8" t="s">
        <v>2063</v>
      </c>
      <c r="D488" s="9" t="s">
        <v>2064</v>
      </c>
      <c r="E488" s="8" t="s">
        <v>2065</v>
      </c>
      <c r="F488" s="8" t="s">
        <v>49</v>
      </c>
      <c r="G488" s="8" t="s">
        <v>2066</v>
      </c>
      <c r="H488" s="8" t="s">
        <v>1006</v>
      </c>
      <c r="I488" s="8" t="s">
        <v>52</v>
      </c>
      <c r="J488" s="8" t="s">
        <v>24</v>
      </c>
      <c r="K488" s="6" t="str">
        <f t="shared" si="1"/>
        <v>081326228925</v>
      </c>
      <c r="L488" s="6" t="str">
        <f>IFERROR(
VLOOKUP(
TRIM(
IF(ISNUMBER(FIND(",",E488)),
LEFT(E488,FIND(",",E488)-1),
E488
)
),
master!A:B,
2,
FALSE
),
"Belum ada mapping"
)
</f>
        <v>Jawa Tengah</v>
      </c>
      <c r="M488" s="6">
        <f>IFERROR(__xludf.DUMMYFUNCTION("IF(REGEXMATCH(I488,""Cari Kerja""),1,0)
"),0.0)</f>
        <v>0</v>
      </c>
      <c r="N488" s="6">
        <f>IFERROR(__xludf.DUMMYFUNCTION("IF(REGEXMATCH(I488,""Upskill""),1,0)
"),1.0)</f>
        <v>1</v>
      </c>
      <c r="O488" s="6">
        <f>IFERROR(__xludf.DUMMYFUNCTION("IF(REGEXMATCH(I488,""Networking""),1,0)
"),1.0)</f>
        <v>1</v>
      </c>
      <c r="P488" s="6">
        <f>IFERROR(__xludf.DUMMYFUNCTION("IF(REGEXMATCH(I488,""Switch Career""),1,0)
"),1.0)</f>
        <v>1</v>
      </c>
    </row>
    <row r="489" ht="22.5" customHeight="1">
      <c r="A489" s="3">
        <v>46043.467736527775</v>
      </c>
      <c r="B489" s="5" t="s">
        <v>2067</v>
      </c>
      <c r="C489" s="5" t="s">
        <v>2068</v>
      </c>
      <c r="D489" s="4" t="s">
        <v>2069</v>
      </c>
      <c r="E489" s="5" t="s">
        <v>529</v>
      </c>
      <c r="F489" s="5" t="s">
        <v>49</v>
      </c>
      <c r="G489" s="5" t="s">
        <v>2070</v>
      </c>
      <c r="H489" s="5" t="s">
        <v>30</v>
      </c>
      <c r="I489" s="5" t="s">
        <v>109</v>
      </c>
      <c r="J489" s="5" t="s">
        <v>76</v>
      </c>
      <c r="K489" s="6" t="str">
        <f t="shared" si="1"/>
        <v>085336858515</v>
      </c>
      <c r="L489" s="6" t="str">
        <f>IFERROR(
VLOOKUP(
TRIM(
IF(ISNUMBER(FIND(",",E489)),
LEFT(E489,FIND(",",E489)-1),
E489
)
),
master!A:B,
2,
FALSE
),
"Belum ada mapping"
)
</f>
        <v>Jawa Timur</v>
      </c>
      <c r="M489" s="6">
        <f>IFERROR(__xludf.DUMMYFUNCTION("IF(REGEXMATCH(I489,""Cari Kerja""),1,0)
"),1.0)</f>
        <v>1</v>
      </c>
      <c r="N489" s="6">
        <f>IFERROR(__xludf.DUMMYFUNCTION("IF(REGEXMATCH(I489,""Upskill""),1,0)
"),0.0)</f>
        <v>0</v>
      </c>
      <c r="O489" s="6">
        <f>IFERROR(__xludf.DUMMYFUNCTION("IF(REGEXMATCH(I489,""Networking""),1,0)
"),1.0)</f>
        <v>1</v>
      </c>
      <c r="P489" s="6">
        <f>IFERROR(__xludf.DUMMYFUNCTION("IF(REGEXMATCH(I489,""Switch Career""),1,0)
"),0.0)</f>
        <v>0</v>
      </c>
    </row>
    <row r="490" ht="22.5" customHeight="1">
      <c r="A490" s="3">
        <v>46045.39111162037</v>
      </c>
      <c r="B490" s="5" t="s">
        <v>2071</v>
      </c>
      <c r="C490" s="5" t="s">
        <v>2072</v>
      </c>
      <c r="D490" s="4" t="s">
        <v>2073</v>
      </c>
      <c r="E490" s="5" t="s">
        <v>575</v>
      </c>
      <c r="F490" s="5" t="s">
        <v>49</v>
      </c>
      <c r="G490" s="5" t="s">
        <v>1671</v>
      </c>
      <c r="H490" s="5" t="s">
        <v>58</v>
      </c>
      <c r="I490" s="5" t="s">
        <v>13</v>
      </c>
      <c r="J490" s="5" t="s">
        <v>76</v>
      </c>
      <c r="K490" s="6" t="str">
        <f t="shared" si="1"/>
        <v>085820397801</v>
      </c>
      <c r="L490" s="6" t="str">
        <f>IFERROR(
VLOOKUP(
TRIM(
IF(ISNUMBER(FIND(",",E490)),
LEFT(E490,FIND(",",E490)-1),
E490
)
),
master!A:B,
2,
FALSE
),
"Belum ada mapping"
)
</f>
        <v>Jawa Tengah</v>
      </c>
      <c r="M490" s="6">
        <f>IFERROR(__xludf.DUMMYFUNCTION("IF(REGEXMATCH(I490,""Cari Kerja""),1,0)
"),0.0)</f>
        <v>0</v>
      </c>
      <c r="N490" s="6">
        <f>IFERROR(__xludf.DUMMYFUNCTION("IF(REGEXMATCH(I490,""Upskill""),1,0)
"),1.0)</f>
        <v>1</v>
      </c>
      <c r="O490" s="6">
        <f>IFERROR(__xludf.DUMMYFUNCTION("IF(REGEXMATCH(I490,""Networking""),1,0)
"),0.0)</f>
        <v>0</v>
      </c>
      <c r="P490" s="6">
        <f>IFERROR(__xludf.DUMMYFUNCTION("IF(REGEXMATCH(I490,""Switch Career""),1,0)
"),0.0)</f>
        <v>0</v>
      </c>
    </row>
    <row r="491" ht="22.5" customHeight="1">
      <c r="A491" s="3">
        <v>46046.327439050925</v>
      </c>
      <c r="B491" s="5" t="s">
        <v>2074</v>
      </c>
      <c r="C491" s="5" t="s">
        <v>2075</v>
      </c>
      <c r="D491" s="4" t="s">
        <v>2076</v>
      </c>
      <c r="E491" s="5" t="s">
        <v>2077</v>
      </c>
      <c r="F491" s="5" t="s">
        <v>49</v>
      </c>
      <c r="G491" s="5" t="s">
        <v>229</v>
      </c>
      <c r="H491" s="5" t="s">
        <v>51</v>
      </c>
      <c r="I491" s="5" t="s">
        <v>31</v>
      </c>
      <c r="J491" s="5" t="s">
        <v>76</v>
      </c>
      <c r="K491" s="6" t="str">
        <f t="shared" si="1"/>
        <v>081280844160</v>
      </c>
      <c r="L491" s="6" t="str">
        <f>IFERROR(
VLOOKUP(
TRIM(
IF(ISNUMBER(FIND(",",E491)),
LEFT(E491,FIND(",",E491)-1),
E491
)
),
master!A:B,
2,
FALSE
),
"Belum ada mapping"
)
</f>
        <v>Banten</v>
      </c>
      <c r="M491" s="6">
        <f>IFERROR(__xludf.DUMMYFUNCTION("IF(REGEXMATCH(I491,""Cari Kerja""),1,0)
"),1.0)</f>
        <v>1</v>
      </c>
      <c r="N491" s="6">
        <f>IFERROR(__xludf.DUMMYFUNCTION("IF(REGEXMATCH(I491,""Upskill""),1,0)
"),1.0)</f>
        <v>1</v>
      </c>
      <c r="O491" s="6">
        <f>IFERROR(__xludf.DUMMYFUNCTION("IF(REGEXMATCH(I491,""Networking""),1,0)
"),1.0)</f>
        <v>1</v>
      </c>
      <c r="P491" s="6">
        <f>IFERROR(__xludf.DUMMYFUNCTION("IF(REGEXMATCH(I491,""Switch Career""),1,0)
"),1.0)</f>
        <v>1</v>
      </c>
    </row>
    <row r="492" ht="22.5" customHeight="1">
      <c r="A492" s="3">
        <v>46052.36951887731</v>
      </c>
      <c r="B492" s="5" t="s">
        <v>2078</v>
      </c>
      <c r="C492" s="5" t="s">
        <v>2079</v>
      </c>
      <c r="D492" s="4" t="s">
        <v>2080</v>
      </c>
      <c r="E492" s="5" t="s">
        <v>174</v>
      </c>
      <c r="F492" s="5" t="s">
        <v>49</v>
      </c>
      <c r="G492" s="5" t="s">
        <v>2081</v>
      </c>
      <c r="H492" s="5" t="s">
        <v>51</v>
      </c>
      <c r="I492" s="5" t="s">
        <v>31</v>
      </c>
      <c r="J492" s="5" t="s">
        <v>24</v>
      </c>
      <c r="K492" s="10" t="str">
        <f t="shared" si="1"/>
        <v>082257181018</v>
      </c>
      <c r="L492" s="10" t="str">
        <f>IFERROR(
VLOOKUP(
TRIM(
IF(ISNUMBER(FIND(",",E492)),
LEFT(E492,FIND(",",E492)-1),
E492
)
),
master!A:B,
2,
FALSE
),
"Belum ada mapping"
)
</f>
        <v>Jawa Timur</v>
      </c>
      <c r="M492" s="10">
        <f>IFERROR(__xludf.DUMMYFUNCTION("IF(REGEXMATCH(I492,""Cari Kerja""),1,0)
"),1.0)</f>
        <v>1</v>
      </c>
      <c r="N492" s="10">
        <f>IFERROR(__xludf.DUMMYFUNCTION("IF(REGEXMATCH(I492,""Upskill""),1,0)
"),1.0)</f>
        <v>1</v>
      </c>
      <c r="O492" s="10">
        <f>IFERROR(__xludf.DUMMYFUNCTION("IF(REGEXMATCH(I492,""Networking""),1,0)
"),1.0)</f>
        <v>1</v>
      </c>
      <c r="P492" s="10">
        <f>IFERROR(__xludf.DUMMYFUNCTION("IF(REGEXMATCH(I492,""Switch Career""),1,0)
"),1.0)</f>
        <v>1</v>
      </c>
    </row>
    <row r="493" ht="22.5" customHeight="1">
      <c r="A493" s="3">
        <v>46044.92874320602</v>
      </c>
      <c r="B493" s="5" t="s">
        <v>2082</v>
      </c>
      <c r="C493" s="5" t="s">
        <v>2083</v>
      </c>
      <c r="D493" s="4" t="s">
        <v>2084</v>
      </c>
      <c r="E493" s="5" t="s">
        <v>2085</v>
      </c>
      <c r="F493" s="5" t="s">
        <v>20</v>
      </c>
      <c r="G493" s="5" t="s">
        <v>2086</v>
      </c>
      <c r="H493" s="5" t="s">
        <v>905</v>
      </c>
      <c r="I493" s="5" t="s">
        <v>130</v>
      </c>
      <c r="J493" s="5" t="s">
        <v>24</v>
      </c>
      <c r="K493" s="6" t="str">
        <f t="shared" si="1"/>
        <v>085702606881</v>
      </c>
      <c r="L493" s="6" t="str">
        <f>IFERROR(
VLOOKUP(
TRIM(
IF(ISNUMBER(FIND(",",E493)),
LEFT(E493,FIND(",",E493)-1),
E493
)
),
master!A:B,
2,
FALSE
),
"Belum ada mapping"
)
</f>
        <v>Jakarta</v>
      </c>
      <c r="M493" s="6">
        <f>IFERROR(__xludf.DUMMYFUNCTION("IF(REGEXMATCH(I493,""Cari Kerja""),1,0)
"),1.0)</f>
        <v>1</v>
      </c>
      <c r="N493" s="6">
        <f>IFERROR(__xludf.DUMMYFUNCTION("IF(REGEXMATCH(I493,""Upskill""),1,0)
"),1.0)</f>
        <v>1</v>
      </c>
      <c r="O493" s="6">
        <f>IFERROR(__xludf.DUMMYFUNCTION("IF(REGEXMATCH(I493,""Networking""),1,0)
"),0.0)</f>
        <v>0</v>
      </c>
      <c r="P493" s="6">
        <f>IFERROR(__xludf.DUMMYFUNCTION("IF(REGEXMATCH(I493,""Switch Career""),1,0)
"),0.0)</f>
        <v>0</v>
      </c>
    </row>
    <row r="494" ht="22.5" customHeight="1">
      <c r="A494" s="3">
        <v>46048.917267743054</v>
      </c>
      <c r="B494" s="5" t="s">
        <v>2087</v>
      </c>
      <c r="C494" s="5" t="s">
        <v>2088</v>
      </c>
      <c r="D494" s="4" t="s">
        <v>2089</v>
      </c>
      <c r="E494" s="5" t="s">
        <v>158</v>
      </c>
      <c r="F494" s="5" t="s">
        <v>49</v>
      </c>
      <c r="G494" s="5" t="s">
        <v>2090</v>
      </c>
      <c r="H494" s="5" t="s">
        <v>439</v>
      </c>
      <c r="I494" s="5" t="s">
        <v>15</v>
      </c>
      <c r="J494" s="5" t="s">
        <v>24</v>
      </c>
      <c r="K494" s="6" t="str">
        <f t="shared" si="1"/>
        <v>087874640604</v>
      </c>
      <c r="L494" s="6" t="str">
        <f>IFERROR(
VLOOKUP(
TRIM(
IF(ISNUMBER(FIND(",",E494)),
LEFT(E494,FIND(",",E494)-1),
E494
)
),
master!A:B,
2,
FALSE
),
"Belum ada mapping"
)
</f>
        <v>Jawa Barat</v>
      </c>
      <c r="M494" s="6">
        <f>IFERROR(__xludf.DUMMYFUNCTION("IF(REGEXMATCH(I494,""Cari Kerja""),1,0)
"),0.0)</f>
        <v>0</v>
      </c>
      <c r="N494" s="6">
        <f>IFERROR(__xludf.DUMMYFUNCTION("IF(REGEXMATCH(I494,""Upskill""),1,0)
"),0.0)</f>
        <v>0</v>
      </c>
      <c r="O494" s="6">
        <f>IFERROR(__xludf.DUMMYFUNCTION("IF(REGEXMATCH(I494,""Networking""),1,0)
"),0.0)</f>
        <v>0</v>
      </c>
      <c r="P494" s="6">
        <f>IFERROR(__xludf.DUMMYFUNCTION("IF(REGEXMATCH(I494,""Switch Career""),1,0)
"),1.0)</f>
        <v>1</v>
      </c>
    </row>
    <row r="495" ht="22.5" customHeight="1">
      <c r="A495" s="3">
        <v>46041.48873648148</v>
      </c>
      <c r="B495" s="5" t="s">
        <v>2091</v>
      </c>
      <c r="C495" s="5" t="s">
        <v>2092</v>
      </c>
      <c r="D495" s="4" t="s">
        <v>2093</v>
      </c>
      <c r="E495" s="5" t="s">
        <v>461</v>
      </c>
      <c r="F495" s="5" t="s">
        <v>49</v>
      </c>
      <c r="G495" s="5" t="s">
        <v>2094</v>
      </c>
      <c r="H495" s="5" t="s">
        <v>582</v>
      </c>
      <c r="I495" s="5" t="s">
        <v>59</v>
      </c>
      <c r="J495" s="5" t="s">
        <v>24</v>
      </c>
      <c r="K495" s="6" t="str">
        <f t="shared" si="1"/>
        <v>085839178112</v>
      </c>
      <c r="L495" s="6" t="str">
        <f>IFERROR(
VLOOKUP(
TRIM(
IF(ISNUMBER(FIND(",",E495)),
LEFT(E495,FIND(",",E495)-1),
E495
)
),
master!A:B,
2,
FALSE
),
"Belum ada mapping"
)
</f>
        <v>Jakarta</v>
      </c>
      <c r="M495" s="6">
        <f>IFERROR(__xludf.DUMMYFUNCTION("IF(REGEXMATCH(I495,""Cari Kerja""),1,0)
"),0.0)</f>
        <v>0</v>
      </c>
      <c r="N495" s="6">
        <f>IFERROR(__xludf.DUMMYFUNCTION("IF(REGEXMATCH(I495,""Upskill""),1,0)
"),1.0)</f>
        <v>1</v>
      </c>
      <c r="O495" s="6">
        <f>IFERROR(__xludf.DUMMYFUNCTION("IF(REGEXMATCH(I495,""Networking""),1,0)
"),1.0)</f>
        <v>1</v>
      </c>
      <c r="P495" s="6">
        <f>IFERROR(__xludf.DUMMYFUNCTION("IF(REGEXMATCH(I495,""Switch Career""),1,0)
"),0.0)</f>
        <v>0</v>
      </c>
    </row>
    <row r="496" ht="22.5" customHeight="1">
      <c r="A496" s="3">
        <v>46043.63152873843</v>
      </c>
      <c r="B496" s="5" t="s">
        <v>2091</v>
      </c>
      <c r="C496" s="5" t="s">
        <v>2092</v>
      </c>
      <c r="D496" s="4" t="s">
        <v>2093</v>
      </c>
      <c r="E496" s="5" t="s">
        <v>2095</v>
      </c>
      <c r="F496" s="5" t="s">
        <v>49</v>
      </c>
      <c r="G496" s="5" t="s">
        <v>2094</v>
      </c>
      <c r="H496" s="5" t="s">
        <v>439</v>
      </c>
      <c r="I496" s="5" t="s">
        <v>59</v>
      </c>
      <c r="J496" s="5" t="s">
        <v>24</v>
      </c>
      <c r="K496" s="6" t="str">
        <f t="shared" si="1"/>
        <v>085839178112</v>
      </c>
      <c r="L496" s="6" t="str">
        <f>IFERROR(
VLOOKUP(
TRIM(
IF(ISNUMBER(FIND(",",E496)),
LEFT(E496,FIND(",",E496)-1),
E496
)
),
master!A:B,
2,
FALSE
),
"Belum ada mapping"
)
</f>
        <v>Jakarta</v>
      </c>
      <c r="M496" s="6">
        <f>IFERROR(__xludf.DUMMYFUNCTION("IF(REGEXMATCH(I496,""Cari Kerja""),1,0)
"),0.0)</f>
        <v>0</v>
      </c>
      <c r="N496" s="6">
        <f>IFERROR(__xludf.DUMMYFUNCTION("IF(REGEXMATCH(I496,""Upskill""),1,0)
"),1.0)</f>
        <v>1</v>
      </c>
      <c r="O496" s="6">
        <f>IFERROR(__xludf.DUMMYFUNCTION("IF(REGEXMATCH(I496,""Networking""),1,0)
"),1.0)</f>
        <v>1</v>
      </c>
      <c r="P496" s="6">
        <f>IFERROR(__xludf.DUMMYFUNCTION("IF(REGEXMATCH(I496,""Switch Career""),1,0)
"),0.0)</f>
        <v>0</v>
      </c>
    </row>
    <row r="497" ht="22.5" customHeight="1">
      <c r="A497" s="3">
        <v>46043.43494755787</v>
      </c>
      <c r="B497" s="5" t="s">
        <v>2096</v>
      </c>
      <c r="C497" s="5" t="s">
        <v>2097</v>
      </c>
      <c r="D497" s="4" t="s">
        <v>2098</v>
      </c>
      <c r="E497" s="5" t="s">
        <v>113</v>
      </c>
      <c r="F497" s="5" t="s">
        <v>20</v>
      </c>
      <c r="G497" s="5" t="s">
        <v>21</v>
      </c>
      <c r="H497" s="5" t="s">
        <v>51</v>
      </c>
      <c r="I497" s="5" t="s">
        <v>23</v>
      </c>
      <c r="J497" s="5" t="s">
        <v>24</v>
      </c>
      <c r="K497" s="6" t="str">
        <f t="shared" si="1"/>
        <v>085837943478</v>
      </c>
      <c r="L497" s="6" t="str">
        <f>IFERROR(
VLOOKUP(
TRIM(
IF(ISNUMBER(FIND(",",E497)),
LEFT(E497,FIND(",",E497)-1),
E497
)
),
master!A:B,
2,
FALSE
),
"Belum ada mapping"
)
</f>
        <v>Sumatera Utara</v>
      </c>
      <c r="M497" s="6">
        <f>IFERROR(__xludf.DUMMYFUNCTION("IF(REGEXMATCH(I497,""Cari Kerja""),1,0)
"),1.0)</f>
        <v>1</v>
      </c>
      <c r="N497" s="6">
        <f>IFERROR(__xludf.DUMMYFUNCTION("IF(REGEXMATCH(I497,""Upskill""),1,0)
"),1.0)</f>
        <v>1</v>
      </c>
      <c r="O497" s="6">
        <f>IFERROR(__xludf.DUMMYFUNCTION("IF(REGEXMATCH(I497,""Networking""),1,0)
"),1.0)</f>
        <v>1</v>
      </c>
      <c r="P497" s="6">
        <f>IFERROR(__xludf.DUMMYFUNCTION("IF(REGEXMATCH(I497,""Switch Career""),1,0)
"),0.0)</f>
        <v>0</v>
      </c>
    </row>
    <row r="498" ht="22.5" customHeight="1">
      <c r="A498" s="7">
        <v>46041.404004525466</v>
      </c>
      <c r="B498" s="8" t="s">
        <v>2099</v>
      </c>
      <c r="C498" s="8" t="s">
        <v>2100</v>
      </c>
      <c r="D498" s="9" t="s">
        <v>2101</v>
      </c>
      <c r="E498" s="8" t="s">
        <v>92</v>
      </c>
      <c r="F498" s="8" t="s">
        <v>20</v>
      </c>
      <c r="G498" s="8" t="s">
        <v>2102</v>
      </c>
      <c r="H498" s="8" t="s">
        <v>51</v>
      </c>
      <c r="I498" s="8" t="s">
        <v>23</v>
      </c>
      <c r="J498" s="8" t="s">
        <v>24</v>
      </c>
      <c r="K498" s="6" t="str">
        <f t="shared" si="1"/>
        <v>081286317655</v>
      </c>
      <c r="L498" s="6" t="str">
        <f>IFERROR(
VLOOKUP(
TRIM(
IF(ISNUMBER(FIND(",",E498)),
LEFT(E498,FIND(",",E498)-1),
E498
)
),
master!A:B,
2,
FALSE
),
"Belum ada mapping"
)
</f>
        <v>Jawa Barat</v>
      </c>
      <c r="M498" s="6">
        <f>IFERROR(__xludf.DUMMYFUNCTION("IF(REGEXMATCH(I498,""Cari Kerja""),1,0)
"),1.0)</f>
        <v>1</v>
      </c>
      <c r="N498" s="6">
        <f>IFERROR(__xludf.DUMMYFUNCTION("IF(REGEXMATCH(I498,""Upskill""),1,0)
"),1.0)</f>
        <v>1</v>
      </c>
      <c r="O498" s="6">
        <f>IFERROR(__xludf.DUMMYFUNCTION("IF(REGEXMATCH(I498,""Networking""),1,0)
"),1.0)</f>
        <v>1</v>
      </c>
      <c r="P498" s="6">
        <f>IFERROR(__xludf.DUMMYFUNCTION("IF(REGEXMATCH(I498,""Switch Career""),1,0)
"),0.0)</f>
        <v>0</v>
      </c>
    </row>
    <row r="499" ht="22.5" customHeight="1">
      <c r="A499" s="3">
        <v>46051.42796721065</v>
      </c>
      <c r="B499" s="5" t="s">
        <v>2103</v>
      </c>
      <c r="C499" s="5" t="s">
        <v>2104</v>
      </c>
      <c r="D499" s="4" t="s">
        <v>2105</v>
      </c>
      <c r="E499" s="5" t="s">
        <v>122</v>
      </c>
      <c r="F499" s="5" t="s">
        <v>49</v>
      </c>
      <c r="G499" s="5" t="s">
        <v>2106</v>
      </c>
      <c r="H499" s="5" t="s">
        <v>2107</v>
      </c>
      <c r="I499" s="5" t="s">
        <v>59</v>
      </c>
      <c r="J499" s="5" t="s">
        <v>24</v>
      </c>
      <c r="K499" s="10" t="str">
        <f t="shared" si="1"/>
        <v>081977300777</v>
      </c>
      <c r="L499" s="10" t="str">
        <f>IFERROR(
VLOOKUP(
TRIM(
IF(ISNUMBER(FIND(",",E499)),
LEFT(E499,FIND(",",E499)-1),
E499
)
),
master!A:B,
2,
FALSE
),
"Belum ada mapping"
)
</f>
        <v>Sulawesi Selatan</v>
      </c>
      <c r="M499" s="10">
        <f>IFERROR(__xludf.DUMMYFUNCTION("IF(REGEXMATCH(I499,""Cari Kerja""),1,0)
"),0.0)</f>
        <v>0</v>
      </c>
      <c r="N499" s="6">
        <f>IFERROR(__xludf.DUMMYFUNCTION("IF(REGEXMATCH(I499,""Upskill""),1,0)
"),1.0)</f>
        <v>1</v>
      </c>
      <c r="O499" s="6">
        <f>IFERROR(__xludf.DUMMYFUNCTION("IF(REGEXMATCH(I499,""Networking""),1,0)
"),1.0)</f>
        <v>1</v>
      </c>
      <c r="P499" s="6">
        <f>IFERROR(__xludf.DUMMYFUNCTION("IF(REGEXMATCH(I499,""Switch Career""),1,0)
"),0.0)</f>
        <v>0</v>
      </c>
    </row>
    <row r="500" ht="22.5" customHeight="1">
      <c r="A500" s="7">
        <v>46040.34991009259</v>
      </c>
      <c r="B500" s="8" t="s">
        <v>2108</v>
      </c>
      <c r="C500" s="8" t="s">
        <v>2109</v>
      </c>
      <c r="D500" s="9" t="s">
        <v>2110</v>
      </c>
      <c r="E500" s="8" t="s">
        <v>158</v>
      </c>
      <c r="F500" s="8" t="s">
        <v>49</v>
      </c>
      <c r="G500" s="8" t="s">
        <v>2111</v>
      </c>
      <c r="H500" s="8" t="s">
        <v>51</v>
      </c>
      <c r="I500" s="8" t="s">
        <v>31</v>
      </c>
      <c r="J500" s="8" t="s">
        <v>24</v>
      </c>
      <c r="K500" s="6" t="str">
        <f t="shared" si="1"/>
        <v>088294512101</v>
      </c>
      <c r="L500" s="6" t="str">
        <f>IFERROR(
VLOOKUP(
TRIM(
IF(ISNUMBER(FIND(",",E500)),
LEFT(E500,FIND(",",E500)-1),
E500
)
),
master!A:B,
2,
FALSE
),
"Belum ada mapping"
)
</f>
        <v>Jawa Barat</v>
      </c>
      <c r="M500" s="6">
        <f>IFERROR(__xludf.DUMMYFUNCTION("IF(REGEXMATCH(I500,""Cari Kerja""),1,0)
"),1.0)</f>
        <v>1</v>
      </c>
      <c r="N500" s="6">
        <f>IFERROR(__xludf.DUMMYFUNCTION("IF(REGEXMATCH(I500,""Upskill""),1,0)
"),1.0)</f>
        <v>1</v>
      </c>
      <c r="O500" s="6">
        <f>IFERROR(__xludf.DUMMYFUNCTION("IF(REGEXMATCH(I500,""Networking""),1,0)
"),1.0)</f>
        <v>1</v>
      </c>
      <c r="P500" s="6">
        <f>IFERROR(__xludf.DUMMYFUNCTION("IF(REGEXMATCH(I500,""Switch Career""),1,0)
"),1.0)</f>
        <v>1</v>
      </c>
    </row>
    <row r="501" ht="22.5" customHeight="1">
      <c r="A501" s="3">
        <v>46046.56238267361</v>
      </c>
      <c r="B501" s="5" t="s">
        <v>2108</v>
      </c>
      <c r="C501" s="5" t="s">
        <v>2112</v>
      </c>
      <c r="D501" s="4" t="s">
        <v>2113</v>
      </c>
      <c r="E501" s="5" t="s">
        <v>2114</v>
      </c>
      <c r="F501" s="5" t="s">
        <v>49</v>
      </c>
      <c r="G501" s="5" t="s">
        <v>2111</v>
      </c>
      <c r="H501" s="5" t="s">
        <v>170</v>
      </c>
      <c r="I501" s="5" t="s">
        <v>52</v>
      </c>
      <c r="J501" s="5" t="s">
        <v>24</v>
      </c>
      <c r="K501" s="6" t="str">
        <f t="shared" si="1"/>
        <v>085161622910</v>
      </c>
      <c r="L501" s="6" t="str">
        <f>IFERROR(
VLOOKUP(
TRIM(
IF(ISNUMBER(FIND(",",E501)),
LEFT(E501,FIND(",",E501)-1),
E501
)
),
master!A:B,
2,
FALSE
),
"Belum ada mapping"
)
</f>
        <v>Jawa Barat</v>
      </c>
      <c r="M501" s="6">
        <f>IFERROR(__xludf.DUMMYFUNCTION("IF(REGEXMATCH(I501,""Cari Kerja""),1,0)
"),0.0)</f>
        <v>0</v>
      </c>
      <c r="N501" s="6">
        <f>IFERROR(__xludf.DUMMYFUNCTION("IF(REGEXMATCH(I501,""Upskill""),1,0)
"),1.0)</f>
        <v>1</v>
      </c>
      <c r="O501" s="6">
        <f>IFERROR(__xludf.DUMMYFUNCTION("IF(REGEXMATCH(I501,""Networking""),1,0)
"),1.0)</f>
        <v>1</v>
      </c>
      <c r="P501" s="6">
        <f>IFERROR(__xludf.DUMMYFUNCTION("IF(REGEXMATCH(I501,""Switch Career""),1,0)
"),1.0)</f>
        <v>1</v>
      </c>
    </row>
    <row r="502" ht="22.5" customHeight="1">
      <c r="A502" s="3">
        <v>46041.72680642361</v>
      </c>
      <c r="B502" s="5" t="s">
        <v>2115</v>
      </c>
      <c r="C502" s="5" t="s">
        <v>2116</v>
      </c>
      <c r="D502" s="4" t="s">
        <v>2117</v>
      </c>
      <c r="E502" s="5" t="s">
        <v>1132</v>
      </c>
      <c r="F502" s="5" t="s">
        <v>20</v>
      </c>
      <c r="G502" s="5" t="s">
        <v>69</v>
      </c>
      <c r="H502" s="5" t="s">
        <v>709</v>
      </c>
      <c r="I502" s="5" t="s">
        <v>31</v>
      </c>
      <c r="J502" s="5" t="s">
        <v>24</v>
      </c>
      <c r="K502" s="6" t="str">
        <f t="shared" si="1"/>
        <v>085292272577</v>
      </c>
      <c r="L502" s="6" t="str">
        <f>IFERROR(
VLOOKUP(
TRIM(
IF(ISNUMBER(FIND(",",E502)),
LEFT(E502,FIND(",",E502)-1),
E502
)
),
master!A:B,
2,
FALSE
),
"Belum ada mapping"
)
</f>
        <v>Jawa Timur</v>
      </c>
      <c r="M502" s="6">
        <f>IFERROR(__xludf.DUMMYFUNCTION("IF(REGEXMATCH(I502,""Cari Kerja""),1,0)
"),1.0)</f>
        <v>1</v>
      </c>
      <c r="N502" s="6">
        <f>IFERROR(__xludf.DUMMYFUNCTION("IF(REGEXMATCH(I502,""Upskill""),1,0)
"),1.0)</f>
        <v>1</v>
      </c>
      <c r="O502" s="6">
        <f>IFERROR(__xludf.DUMMYFUNCTION("IF(REGEXMATCH(I502,""Networking""),1,0)
"),1.0)</f>
        <v>1</v>
      </c>
      <c r="P502" s="6">
        <f>IFERROR(__xludf.DUMMYFUNCTION("IF(REGEXMATCH(I502,""Switch Career""),1,0)
"),1.0)</f>
        <v>1</v>
      </c>
    </row>
    <row r="503" ht="22.5" customHeight="1">
      <c r="A503" s="7">
        <v>46040.41644621528</v>
      </c>
      <c r="B503" s="8" t="s">
        <v>2118</v>
      </c>
      <c r="C503" s="8" t="s">
        <v>2119</v>
      </c>
      <c r="D503" s="9" t="s">
        <v>2120</v>
      </c>
      <c r="E503" s="8" t="s">
        <v>575</v>
      </c>
      <c r="F503" s="8" t="s">
        <v>20</v>
      </c>
      <c r="G503" s="8" t="s">
        <v>2121</v>
      </c>
      <c r="H503" s="8" t="s">
        <v>51</v>
      </c>
      <c r="I503" s="8" t="s">
        <v>59</v>
      </c>
      <c r="J503" s="8" t="s">
        <v>24</v>
      </c>
      <c r="K503" s="6" t="str">
        <f t="shared" si="1"/>
        <v>082322587336</v>
      </c>
      <c r="L503" s="6" t="str">
        <f>IFERROR(
VLOOKUP(
TRIM(
IF(ISNUMBER(FIND(",",E503)),
LEFT(E503,FIND(",",E503)-1),
E503
)
),
master!A:B,
2,
FALSE
),
"Belum ada mapping"
)
</f>
        <v>Jawa Tengah</v>
      </c>
      <c r="M503" s="6">
        <f>IFERROR(__xludf.DUMMYFUNCTION("IF(REGEXMATCH(I503,""Cari Kerja""),1,0)
"),0.0)</f>
        <v>0</v>
      </c>
      <c r="N503" s="6">
        <f>IFERROR(__xludf.DUMMYFUNCTION("IF(REGEXMATCH(I503,""Upskill""),1,0)
"),1.0)</f>
        <v>1</v>
      </c>
      <c r="O503" s="6">
        <f>IFERROR(__xludf.DUMMYFUNCTION("IF(REGEXMATCH(I503,""Networking""),1,0)
"),1.0)</f>
        <v>1</v>
      </c>
      <c r="P503" s="6">
        <f>IFERROR(__xludf.DUMMYFUNCTION("IF(REGEXMATCH(I503,""Switch Career""),1,0)
"),0.0)</f>
        <v>0</v>
      </c>
    </row>
    <row r="504" ht="22.5" customHeight="1">
      <c r="A504" s="3">
        <v>46042.42135643518</v>
      </c>
      <c r="B504" s="5" t="s">
        <v>2122</v>
      </c>
      <c r="C504" s="5" t="s">
        <v>2123</v>
      </c>
      <c r="D504" s="4" t="s">
        <v>2124</v>
      </c>
      <c r="E504" s="5" t="s">
        <v>74</v>
      </c>
      <c r="F504" s="5" t="s">
        <v>20</v>
      </c>
      <c r="G504" s="5" t="s">
        <v>2125</v>
      </c>
      <c r="H504" s="5" t="s">
        <v>340</v>
      </c>
      <c r="I504" s="5" t="s">
        <v>968</v>
      </c>
      <c r="J504" s="5" t="s">
        <v>24</v>
      </c>
      <c r="K504" s="6" t="str">
        <f t="shared" si="1"/>
        <v>081362465631</v>
      </c>
      <c r="L504" s="6" t="str">
        <f>IFERROR(
VLOOKUP(
TRIM(
IF(ISNUMBER(FIND(",",E504)),
LEFT(E504,FIND(",",E504)-1),
E504
)
),
master!A:B,
2,
FALSE
),
"Belum ada mapping"
)
</f>
        <v>Banten</v>
      </c>
      <c r="M504" s="6">
        <f>IFERROR(__xludf.DUMMYFUNCTION("IF(REGEXMATCH(I504,""Cari Kerja""),1,0)
"),1.0)</f>
        <v>1</v>
      </c>
      <c r="N504" s="6">
        <f>IFERROR(__xludf.DUMMYFUNCTION("IF(REGEXMATCH(I504,""Upskill""),1,0)
"),0.0)</f>
        <v>0</v>
      </c>
      <c r="O504" s="6">
        <f>IFERROR(__xludf.DUMMYFUNCTION("IF(REGEXMATCH(I504,""Networking""),1,0)
"),0.0)</f>
        <v>0</v>
      </c>
      <c r="P504" s="6">
        <f>IFERROR(__xludf.DUMMYFUNCTION("IF(REGEXMATCH(I504,""Switch Career""),1,0)
"),1.0)</f>
        <v>1</v>
      </c>
    </row>
    <row r="505" ht="22.5" customHeight="1">
      <c r="A505" s="3">
        <v>46046.72452355324</v>
      </c>
      <c r="B505" s="5" t="s">
        <v>2126</v>
      </c>
      <c r="C505" s="5" t="s">
        <v>2127</v>
      </c>
      <c r="D505" s="4" t="s">
        <v>2128</v>
      </c>
      <c r="E505" s="5" t="s">
        <v>35</v>
      </c>
      <c r="F505" s="5" t="s">
        <v>49</v>
      </c>
      <c r="G505" s="5" t="s">
        <v>2129</v>
      </c>
      <c r="H505" s="5" t="s">
        <v>51</v>
      </c>
      <c r="I505" s="5" t="s">
        <v>15</v>
      </c>
      <c r="J505" s="5" t="s">
        <v>24</v>
      </c>
      <c r="K505" s="6" t="str">
        <f t="shared" si="1"/>
        <v>08988070802</v>
      </c>
      <c r="L505" s="6" t="str">
        <f>IFERROR(
VLOOKUP(
TRIM(
IF(ISNUMBER(FIND(",",E505)),
LEFT(E505,FIND(",",E505)-1),
E505
)
),
master!A:B,
2,
FALSE
),
"Belum ada mapping"
)
</f>
        <v>Jawa Timur</v>
      </c>
      <c r="M505" s="6">
        <f>IFERROR(__xludf.DUMMYFUNCTION("IF(REGEXMATCH(I505,""Cari Kerja""),1,0)
"),0.0)</f>
        <v>0</v>
      </c>
      <c r="N505" s="6">
        <f>IFERROR(__xludf.DUMMYFUNCTION("IF(REGEXMATCH(I505,""Upskill""),1,0)
"),0.0)</f>
        <v>0</v>
      </c>
      <c r="O505" s="6">
        <f>IFERROR(__xludf.DUMMYFUNCTION("IF(REGEXMATCH(I505,""Networking""),1,0)
"),0.0)</f>
        <v>0</v>
      </c>
      <c r="P505" s="6">
        <f>IFERROR(__xludf.DUMMYFUNCTION("IF(REGEXMATCH(I505,""Switch Career""),1,0)
"),1.0)</f>
        <v>1</v>
      </c>
    </row>
    <row r="506" ht="22.5" customHeight="1">
      <c r="A506" s="3">
        <v>46042.38062585648</v>
      </c>
      <c r="B506" s="5" t="s">
        <v>2130</v>
      </c>
      <c r="C506" s="5" t="s">
        <v>2131</v>
      </c>
      <c r="D506" s="4" t="s">
        <v>2132</v>
      </c>
      <c r="E506" s="5" t="s">
        <v>551</v>
      </c>
      <c r="F506" s="5" t="s">
        <v>49</v>
      </c>
      <c r="G506" s="5" t="s">
        <v>2133</v>
      </c>
      <c r="H506" s="5" t="s">
        <v>37</v>
      </c>
      <c r="I506" s="5" t="s">
        <v>23</v>
      </c>
      <c r="J506" s="5" t="s">
        <v>24</v>
      </c>
      <c r="K506" s="6" t="str">
        <f t="shared" si="1"/>
        <v>082112304475</v>
      </c>
      <c r="L506" s="6" t="str">
        <f>IFERROR(
VLOOKUP(
TRIM(
IF(ISNUMBER(FIND(",",E506)),
LEFT(E506,FIND(",",E506)-1),
E506
)
),
master!A:B,
2,
FALSE
),
"Belum ada mapping"
)
</f>
        <v>Jawa Barat</v>
      </c>
      <c r="M506" s="6">
        <f>IFERROR(__xludf.DUMMYFUNCTION("IF(REGEXMATCH(I506,""Cari Kerja""),1,0)
"),1.0)</f>
        <v>1</v>
      </c>
      <c r="N506" s="6">
        <f>IFERROR(__xludf.DUMMYFUNCTION("IF(REGEXMATCH(I506,""Upskill""),1,0)
"),1.0)</f>
        <v>1</v>
      </c>
      <c r="O506" s="6">
        <f>IFERROR(__xludf.DUMMYFUNCTION("IF(REGEXMATCH(I506,""Networking""),1,0)
"),1.0)</f>
        <v>1</v>
      </c>
      <c r="P506" s="6">
        <f>IFERROR(__xludf.DUMMYFUNCTION("IF(REGEXMATCH(I506,""Switch Career""),1,0)
"),0.0)</f>
        <v>0</v>
      </c>
    </row>
    <row r="507" ht="22.5" customHeight="1">
      <c r="A507" s="3">
        <v>46042.63610199074</v>
      </c>
      <c r="B507" s="5" t="s">
        <v>2134</v>
      </c>
      <c r="C507" s="5" t="s">
        <v>2135</v>
      </c>
      <c r="D507" s="4" t="s">
        <v>2136</v>
      </c>
      <c r="E507" s="5" t="s">
        <v>2137</v>
      </c>
      <c r="F507" s="5" t="s">
        <v>20</v>
      </c>
      <c r="G507" s="5" t="s">
        <v>2138</v>
      </c>
      <c r="H507" s="5" t="s">
        <v>51</v>
      </c>
      <c r="I507" s="5" t="s">
        <v>23</v>
      </c>
      <c r="J507" s="5" t="s">
        <v>24</v>
      </c>
      <c r="K507" s="6" t="str">
        <f t="shared" si="1"/>
        <v>085299123558</v>
      </c>
      <c r="L507" s="6" t="str">
        <f>IFERROR(
VLOOKUP(
TRIM(
IF(ISNUMBER(FIND(",",E507)),
LEFT(E507,FIND(",",E507)-1),
E507
)
),
master!A:B,
2,
FALSE
),
"Belum ada mapping"
)
</f>
        <v>Sulawesi Selatan</v>
      </c>
      <c r="M507" s="6">
        <f>IFERROR(__xludf.DUMMYFUNCTION("IF(REGEXMATCH(I507,""Cari Kerja""),1,0)
"),1.0)</f>
        <v>1</v>
      </c>
      <c r="N507" s="6">
        <f>IFERROR(__xludf.DUMMYFUNCTION("IF(REGEXMATCH(I507,""Upskill""),1,0)
"),1.0)</f>
        <v>1</v>
      </c>
      <c r="O507" s="6">
        <f>IFERROR(__xludf.DUMMYFUNCTION("IF(REGEXMATCH(I507,""Networking""),1,0)
"),1.0)</f>
        <v>1</v>
      </c>
      <c r="P507" s="6">
        <f>IFERROR(__xludf.DUMMYFUNCTION("IF(REGEXMATCH(I507,""Switch Career""),1,0)
"),0.0)</f>
        <v>0</v>
      </c>
    </row>
    <row r="508" ht="22.5" customHeight="1">
      <c r="A508" s="3">
        <v>46043.446575497685</v>
      </c>
      <c r="B508" s="5" t="s">
        <v>2139</v>
      </c>
      <c r="C508" s="5" t="s">
        <v>2140</v>
      </c>
      <c r="D508" s="4" t="s">
        <v>2141</v>
      </c>
      <c r="E508" s="5" t="s">
        <v>113</v>
      </c>
      <c r="F508" s="5" t="s">
        <v>20</v>
      </c>
      <c r="G508" s="5" t="s">
        <v>2142</v>
      </c>
      <c r="H508" s="5" t="s">
        <v>93</v>
      </c>
      <c r="I508" s="5" t="s">
        <v>23</v>
      </c>
      <c r="J508" s="5" t="s">
        <v>24</v>
      </c>
      <c r="K508" s="6" t="str">
        <f t="shared" si="1"/>
        <v>083121102107</v>
      </c>
      <c r="L508" s="6" t="str">
        <f>IFERROR(
VLOOKUP(
TRIM(
IF(ISNUMBER(FIND(",",E508)),
LEFT(E508,FIND(",",E508)-1),
E508
)
),
master!A:B,
2,
FALSE
),
"Belum ada mapping"
)
</f>
        <v>Sumatera Utara</v>
      </c>
      <c r="M508" s="6">
        <f>IFERROR(__xludf.DUMMYFUNCTION("IF(REGEXMATCH(I508,""Cari Kerja""),1,0)
"),1.0)</f>
        <v>1</v>
      </c>
      <c r="N508" s="6">
        <f>IFERROR(__xludf.DUMMYFUNCTION("IF(REGEXMATCH(I508,""Upskill""),1,0)
"),1.0)</f>
        <v>1</v>
      </c>
      <c r="O508" s="6">
        <f>IFERROR(__xludf.DUMMYFUNCTION("IF(REGEXMATCH(I508,""Networking""),1,0)
"),1.0)</f>
        <v>1</v>
      </c>
      <c r="P508" s="6">
        <f>IFERROR(__xludf.DUMMYFUNCTION("IF(REGEXMATCH(I508,""Switch Career""),1,0)
"),0.0)</f>
        <v>0</v>
      </c>
    </row>
    <row r="509" ht="22.5" customHeight="1">
      <c r="A509" s="3">
        <v>46051.45300334491</v>
      </c>
      <c r="B509" s="5" t="s">
        <v>2143</v>
      </c>
      <c r="C509" s="5" t="s">
        <v>2144</v>
      </c>
      <c r="D509" s="4" t="s">
        <v>2145</v>
      </c>
      <c r="E509" s="5" t="s">
        <v>151</v>
      </c>
      <c r="F509" s="5" t="s">
        <v>20</v>
      </c>
      <c r="G509" s="5" t="s">
        <v>2146</v>
      </c>
      <c r="H509" s="5" t="s">
        <v>2147</v>
      </c>
      <c r="I509" s="5" t="s">
        <v>31</v>
      </c>
      <c r="J509" s="5" t="s">
        <v>24</v>
      </c>
      <c r="K509" s="10" t="str">
        <f t="shared" si="1"/>
        <v>082387679081</v>
      </c>
      <c r="L509" s="10" t="str">
        <f>IFERROR(
VLOOKUP(
TRIM(
IF(ISNUMBER(FIND(",",E509)),
LEFT(E509,FIND(",",E509)-1),
E509
)
),
master!A:B,
2,
FALSE
),
"Belum ada mapping"
)
</f>
        <v>Riau</v>
      </c>
      <c r="M509" s="10">
        <f>IFERROR(__xludf.DUMMYFUNCTION("IF(REGEXMATCH(I509,""Cari Kerja""),1,0)
"),1.0)</f>
        <v>1</v>
      </c>
      <c r="N509" s="10">
        <f>IFERROR(__xludf.DUMMYFUNCTION("IF(REGEXMATCH(I509,""Upskill""),1,0)
"),1.0)</f>
        <v>1</v>
      </c>
      <c r="O509" s="10">
        <f>IFERROR(__xludf.DUMMYFUNCTION("IF(REGEXMATCH(I509,""Networking""),1,0)
"),1.0)</f>
        <v>1</v>
      </c>
      <c r="P509" s="10">
        <f>IFERROR(__xludf.DUMMYFUNCTION("IF(REGEXMATCH(I509,""Switch Career""),1,0)
"),1.0)</f>
        <v>1</v>
      </c>
    </row>
    <row r="510" ht="22.5" customHeight="1">
      <c r="A510" s="7">
        <v>46040.34870929398</v>
      </c>
      <c r="B510" s="8" t="s">
        <v>2148</v>
      </c>
      <c r="C510" s="8" t="s">
        <v>2149</v>
      </c>
      <c r="D510" s="9" t="s">
        <v>2150</v>
      </c>
      <c r="E510" s="8" t="s">
        <v>1591</v>
      </c>
      <c r="F510" s="8" t="s">
        <v>20</v>
      </c>
      <c r="G510" s="8" t="s">
        <v>2151</v>
      </c>
      <c r="H510" s="8" t="s">
        <v>346</v>
      </c>
      <c r="I510" s="8" t="s">
        <v>31</v>
      </c>
      <c r="J510" s="8" t="s">
        <v>24</v>
      </c>
      <c r="K510" s="6" t="str">
        <f t="shared" si="1"/>
        <v>083177376993</v>
      </c>
      <c r="L510" s="6" t="str">
        <f>IFERROR(
VLOOKUP(
TRIM(
IF(ISNUMBER(FIND(",",E510)),
LEFT(E510,FIND(",",E510)-1),
E510
)
),
master!A:B,
2,
FALSE
),
"Belum ada mapping"
)
</f>
        <v>Bengkulu</v>
      </c>
      <c r="M510" s="6">
        <f>IFERROR(__xludf.DUMMYFUNCTION("IF(REGEXMATCH(I510,""Cari Kerja""),1,0)
"),1.0)</f>
        <v>1</v>
      </c>
      <c r="N510" s="6">
        <f>IFERROR(__xludf.DUMMYFUNCTION("IF(REGEXMATCH(I510,""Upskill""),1,0)
"),1.0)</f>
        <v>1</v>
      </c>
      <c r="O510" s="6">
        <f>IFERROR(__xludf.DUMMYFUNCTION("IF(REGEXMATCH(I510,""Networking""),1,0)
"),1.0)</f>
        <v>1</v>
      </c>
      <c r="P510" s="6">
        <f>IFERROR(__xludf.DUMMYFUNCTION("IF(REGEXMATCH(I510,""Switch Career""),1,0)
"),1.0)</f>
        <v>1</v>
      </c>
    </row>
    <row r="511" ht="22.5" customHeight="1">
      <c r="A511" s="3">
        <v>46049.2373621875</v>
      </c>
      <c r="B511" s="5" t="s">
        <v>2152</v>
      </c>
      <c r="C511" s="5" t="s">
        <v>2153</v>
      </c>
      <c r="D511" s="4" t="s">
        <v>2154</v>
      </c>
      <c r="E511" s="5" t="s">
        <v>35</v>
      </c>
      <c r="F511" s="5" t="s">
        <v>20</v>
      </c>
      <c r="G511" s="5" t="s">
        <v>438</v>
      </c>
      <c r="H511" s="5" t="s">
        <v>51</v>
      </c>
      <c r="I511" s="5" t="s">
        <v>31</v>
      </c>
      <c r="J511" s="5" t="s">
        <v>24</v>
      </c>
      <c r="K511" s="6" t="str">
        <f t="shared" si="1"/>
        <v>081331864565</v>
      </c>
      <c r="L511" s="6" t="str">
        <f>IFERROR(
VLOOKUP(
TRIM(
IF(ISNUMBER(FIND(",",E511)),
LEFT(E511,FIND(",",E511)-1),
E511
)
),
master!A:B,
2,
FALSE
),
"Belum ada mapping"
)
</f>
        <v>Jawa Timur</v>
      </c>
      <c r="M511" s="6">
        <f>IFERROR(__xludf.DUMMYFUNCTION("IF(REGEXMATCH(I511,""Cari Kerja""),1,0)
"),1.0)</f>
        <v>1</v>
      </c>
      <c r="N511" s="6">
        <f>IFERROR(__xludf.DUMMYFUNCTION("IF(REGEXMATCH(I511,""Upskill""),1,0)
"),1.0)</f>
        <v>1</v>
      </c>
      <c r="O511" s="6">
        <f>IFERROR(__xludf.DUMMYFUNCTION("IF(REGEXMATCH(I511,""Networking""),1,0)
"),1.0)</f>
        <v>1</v>
      </c>
      <c r="P511" s="6">
        <f>IFERROR(__xludf.DUMMYFUNCTION("IF(REGEXMATCH(I511,""Switch Career""),1,0)
"),1.0)</f>
        <v>1</v>
      </c>
    </row>
    <row r="512" ht="22.5" customHeight="1">
      <c r="A512" s="3">
        <v>46046.53435486111</v>
      </c>
      <c r="B512" s="5" t="s">
        <v>2155</v>
      </c>
      <c r="C512" s="5" t="s">
        <v>2156</v>
      </c>
      <c r="D512" s="4" t="s">
        <v>2157</v>
      </c>
      <c r="E512" s="5" t="s">
        <v>158</v>
      </c>
      <c r="F512" s="5" t="s">
        <v>20</v>
      </c>
      <c r="G512" s="5" t="s">
        <v>656</v>
      </c>
      <c r="H512" s="5" t="s">
        <v>2158</v>
      </c>
      <c r="I512" s="5" t="s">
        <v>23</v>
      </c>
      <c r="J512" s="5" t="s">
        <v>24</v>
      </c>
      <c r="K512" s="6" t="str">
        <f t="shared" si="1"/>
        <v>082112178839</v>
      </c>
      <c r="L512" s="6" t="str">
        <f>IFERROR(
VLOOKUP(
TRIM(
IF(ISNUMBER(FIND(",",E512)),
LEFT(E512,FIND(",",E512)-1),
E512
)
),
master!A:B,
2,
FALSE
),
"Belum ada mapping"
)
</f>
        <v>Jawa Barat</v>
      </c>
      <c r="M512" s="6">
        <f>IFERROR(__xludf.DUMMYFUNCTION("IF(REGEXMATCH(I512,""Cari Kerja""),1,0)
"),1.0)</f>
        <v>1</v>
      </c>
      <c r="N512" s="6">
        <f>IFERROR(__xludf.DUMMYFUNCTION("IF(REGEXMATCH(I512,""Upskill""),1,0)
"),1.0)</f>
        <v>1</v>
      </c>
      <c r="O512" s="6">
        <f>IFERROR(__xludf.DUMMYFUNCTION("IF(REGEXMATCH(I512,""Networking""),1,0)
"),1.0)</f>
        <v>1</v>
      </c>
      <c r="P512" s="6">
        <f>IFERROR(__xludf.DUMMYFUNCTION("IF(REGEXMATCH(I512,""Switch Career""),1,0)
"),0.0)</f>
        <v>0</v>
      </c>
    </row>
    <row r="513" ht="22.5" customHeight="1">
      <c r="A513" s="3">
        <v>46048.918306921296</v>
      </c>
      <c r="B513" s="5" t="s">
        <v>2159</v>
      </c>
      <c r="C513" s="5" t="s">
        <v>2160</v>
      </c>
      <c r="D513" s="4" t="s">
        <v>2161</v>
      </c>
      <c r="E513" s="5" t="s">
        <v>2162</v>
      </c>
      <c r="F513" s="5" t="s">
        <v>20</v>
      </c>
      <c r="G513" s="5" t="s">
        <v>69</v>
      </c>
      <c r="H513" s="5" t="s">
        <v>2163</v>
      </c>
      <c r="I513" s="5" t="s">
        <v>23</v>
      </c>
      <c r="J513" s="5" t="s">
        <v>24</v>
      </c>
      <c r="K513" s="6" t="str">
        <f t="shared" si="1"/>
        <v>082256480510</v>
      </c>
      <c r="L513" s="6" t="str">
        <f>IFERROR(
VLOOKUP(
TRIM(
IF(ISNUMBER(FIND(",",E513)),
LEFT(E513,FIND(",",E513)-1),
E513
)
),
master!A:B,
2,
FALSE
),
"Belum ada mapping"
)
</f>
        <v>Kalimantan Barat</v>
      </c>
      <c r="M513" s="6">
        <f>IFERROR(__xludf.DUMMYFUNCTION("IF(REGEXMATCH(I513,""Cari Kerja""),1,0)
"),1.0)</f>
        <v>1</v>
      </c>
      <c r="N513" s="6">
        <f>IFERROR(__xludf.DUMMYFUNCTION("IF(REGEXMATCH(I513,""Upskill""),1,0)
"),1.0)</f>
        <v>1</v>
      </c>
      <c r="O513" s="6">
        <f>IFERROR(__xludf.DUMMYFUNCTION("IF(REGEXMATCH(I513,""Networking""),1,0)
"),1.0)</f>
        <v>1</v>
      </c>
      <c r="P513" s="6">
        <f>IFERROR(__xludf.DUMMYFUNCTION("IF(REGEXMATCH(I513,""Switch Career""),1,0)
"),0.0)</f>
        <v>0</v>
      </c>
    </row>
    <row r="514" ht="22.5" customHeight="1">
      <c r="A514" s="3">
        <v>46042.39675858796</v>
      </c>
      <c r="B514" s="5" t="s">
        <v>2164</v>
      </c>
      <c r="C514" s="5" t="s">
        <v>2165</v>
      </c>
      <c r="D514" s="4" t="s">
        <v>2166</v>
      </c>
      <c r="E514" s="5" t="s">
        <v>42</v>
      </c>
      <c r="F514" s="5" t="s">
        <v>20</v>
      </c>
      <c r="G514" s="5" t="s">
        <v>1320</v>
      </c>
      <c r="H514" s="5" t="s">
        <v>1523</v>
      </c>
      <c r="I514" s="5" t="s">
        <v>23</v>
      </c>
      <c r="J514" s="5" t="s">
        <v>24</v>
      </c>
      <c r="K514" s="6" t="str">
        <f t="shared" si="1"/>
        <v>082120073035</v>
      </c>
      <c r="L514" s="6" t="str">
        <f>IFERROR(
VLOOKUP(
TRIM(
IF(ISNUMBER(FIND(",",E514)),
LEFT(E514,FIND(",",E514)-1),
E514
)
),
master!A:B,
2,
FALSE
),
"Belum ada mapping"
)
</f>
        <v>Jawa Barat</v>
      </c>
      <c r="M514" s="6">
        <f>IFERROR(__xludf.DUMMYFUNCTION("IF(REGEXMATCH(I514,""Cari Kerja""),1,0)
"),1.0)</f>
        <v>1</v>
      </c>
      <c r="N514" s="6">
        <f>IFERROR(__xludf.DUMMYFUNCTION("IF(REGEXMATCH(I514,""Upskill""),1,0)
"),1.0)</f>
        <v>1</v>
      </c>
      <c r="O514" s="6">
        <f>IFERROR(__xludf.DUMMYFUNCTION("IF(REGEXMATCH(I514,""Networking""),1,0)
"),1.0)</f>
        <v>1</v>
      </c>
      <c r="P514" s="6">
        <f>IFERROR(__xludf.DUMMYFUNCTION("IF(REGEXMATCH(I514,""Switch Career""),1,0)
"),0.0)</f>
        <v>0</v>
      </c>
    </row>
    <row r="515" ht="22.5" customHeight="1">
      <c r="A515" s="3">
        <v>46041.50300525463</v>
      </c>
      <c r="B515" s="5" t="s">
        <v>2167</v>
      </c>
      <c r="C515" s="5" t="s">
        <v>2168</v>
      </c>
      <c r="D515" s="4" t="s">
        <v>2169</v>
      </c>
      <c r="E515" s="5" t="s">
        <v>2170</v>
      </c>
      <c r="F515" s="5" t="s">
        <v>20</v>
      </c>
      <c r="G515" s="5" t="s">
        <v>150</v>
      </c>
      <c r="H515" s="5" t="s">
        <v>51</v>
      </c>
      <c r="I515" s="5" t="s">
        <v>23</v>
      </c>
      <c r="J515" s="5" t="s">
        <v>24</v>
      </c>
      <c r="K515" s="6" t="str">
        <f t="shared" si="1"/>
        <v>085161136054</v>
      </c>
      <c r="L515" s="6" t="str">
        <f>IFERROR(
VLOOKUP(
TRIM(
IF(ISNUMBER(FIND(",",E515)),
LEFT(E515,FIND(",",E515)-1),
E515
)
),
master!A:B,
2,
FALSE
),
"Belum ada mapping"
)
</f>
        <v>Jawa Tengah</v>
      </c>
      <c r="M515" s="6">
        <f>IFERROR(__xludf.DUMMYFUNCTION("IF(REGEXMATCH(I515,""Cari Kerja""),1,0)
"),1.0)</f>
        <v>1</v>
      </c>
      <c r="N515" s="6">
        <f>IFERROR(__xludf.DUMMYFUNCTION("IF(REGEXMATCH(I515,""Upskill""),1,0)
"),1.0)</f>
        <v>1</v>
      </c>
      <c r="O515" s="6">
        <f>IFERROR(__xludf.DUMMYFUNCTION("IF(REGEXMATCH(I515,""Networking""),1,0)
"),1.0)</f>
        <v>1</v>
      </c>
      <c r="P515" s="6">
        <f>IFERROR(__xludf.DUMMYFUNCTION("IF(REGEXMATCH(I515,""Switch Career""),1,0)
"),0.0)</f>
        <v>0</v>
      </c>
    </row>
    <row r="516" ht="22.5" customHeight="1">
      <c r="A516" s="3">
        <v>46048.92060890046</v>
      </c>
      <c r="B516" s="5" t="s">
        <v>2171</v>
      </c>
      <c r="C516" s="5" t="s">
        <v>2172</v>
      </c>
      <c r="D516" s="4" t="s">
        <v>2173</v>
      </c>
      <c r="E516" s="5" t="s">
        <v>185</v>
      </c>
      <c r="F516" s="5" t="s">
        <v>20</v>
      </c>
      <c r="G516" s="5" t="s">
        <v>2174</v>
      </c>
      <c r="H516" s="5" t="s">
        <v>51</v>
      </c>
      <c r="I516" s="5" t="s">
        <v>59</v>
      </c>
      <c r="J516" s="5" t="s">
        <v>24</v>
      </c>
      <c r="K516" s="6" t="str">
        <f t="shared" si="1"/>
        <v>085364286537</v>
      </c>
      <c r="L516" s="6" t="str">
        <f>IFERROR(
VLOOKUP(
TRIM(
IF(ISNUMBER(FIND(",",E516)),
LEFT(E516,FIND(",",E516)-1),
E516
)
),
master!A:B,
2,
FALSE
),
"Belum ada mapping"
)
</f>
        <v>Jakarta</v>
      </c>
      <c r="M516" s="6">
        <f>IFERROR(__xludf.DUMMYFUNCTION("IF(REGEXMATCH(I516,""Cari Kerja""),1,0)
"),0.0)</f>
        <v>0</v>
      </c>
      <c r="N516" s="6">
        <f>IFERROR(__xludf.DUMMYFUNCTION("IF(REGEXMATCH(I516,""Upskill""),1,0)
"),1.0)</f>
        <v>1</v>
      </c>
      <c r="O516" s="6">
        <f>IFERROR(__xludf.DUMMYFUNCTION("IF(REGEXMATCH(I516,""Networking""),1,0)
"),1.0)</f>
        <v>1</v>
      </c>
      <c r="P516" s="6">
        <f>IFERROR(__xludf.DUMMYFUNCTION("IF(REGEXMATCH(I516,""Switch Career""),1,0)
"),0.0)</f>
        <v>0</v>
      </c>
    </row>
    <row r="517" ht="22.5" customHeight="1">
      <c r="A517" s="3">
        <v>46050.66045127314</v>
      </c>
      <c r="B517" s="5" t="s">
        <v>2175</v>
      </c>
      <c r="C517" s="5" t="s">
        <v>2176</v>
      </c>
      <c r="D517" s="4" t="s">
        <v>2177</v>
      </c>
      <c r="E517" s="5" t="s">
        <v>2178</v>
      </c>
      <c r="F517" s="5" t="s">
        <v>20</v>
      </c>
      <c r="G517" s="5" t="s">
        <v>552</v>
      </c>
      <c r="H517" s="5" t="s">
        <v>2179</v>
      </c>
      <c r="I517" s="5" t="s">
        <v>130</v>
      </c>
      <c r="J517" s="5" t="s">
        <v>24</v>
      </c>
      <c r="K517" s="10" t="str">
        <f t="shared" si="1"/>
        <v>085823723085</v>
      </c>
      <c r="L517" s="10" t="str">
        <f>IFERROR(
VLOOKUP(
TRIM(
IF(ISNUMBER(FIND(",",E517)),
LEFT(E517,FIND(",",E517)-1),
E517
)
),
master!A:B,
2,
FALSE
),
"Belum ada mapping"
)
</f>
        <v>Sulawesi Tengah</v>
      </c>
      <c r="M517" s="6">
        <f>IFERROR(__xludf.DUMMYFUNCTION("IF(REGEXMATCH(I517,""Cari Kerja""),1,0)
"),1.0)</f>
        <v>1</v>
      </c>
      <c r="N517" s="6">
        <f>IFERROR(__xludf.DUMMYFUNCTION("IF(REGEXMATCH(I517,""Upskill""),1,0)
"),1.0)</f>
        <v>1</v>
      </c>
      <c r="O517" s="6">
        <f>IFERROR(__xludf.DUMMYFUNCTION("IF(REGEXMATCH(I517,""Networking""),1,0)
"),0.0)</f>
        <v>0</v>
      </c>
      <c r="P517" s="6">
        <f>IFERROR(__xludf.DUMMYFUNCTION("IF(REGEXMATCH(I517,""Switch Career""),1,0)
"),0.0)</f>
        <v>0</v>
      </c>
    </row>
    <row r="518" ht="22.5" customHeight="1">
      <c r="A518" s="3">
        <v>46043.268366979166</v>
      </c>
      <c r="B518" s="5" t="s">
        <v>2180</v>
      </c>
      <c r="C518" s="5" t="s">
        <v>2181</v>
      </c>
      <c r="D518" s="4" t="s">
        <v>2182</v>
      </c>
      <c r="E518" s="5" t="s">
        <v>2183</v>
      </c>
      <c r="F518" s="5" t="s">
        <v>20</v>
      </c>
      <c r="G518" s="5" t="s">
        <v>2184</v>
      </c>
      <c r="H518" s="5" t="s">
        <v>51</v>
      </c>
      <c r="I518" s="5" t="s">
        <v>59</v>
      </c>
      <c r="J518" s="5" t="s">
        <v>38</v>
      </c>
      <c r="K518" s="6" t="str">
        <f t="shared" si="1"/>
        <v>081914104178</v>
      </c>
      <c r="L518" s="6" t="str">
        <f>IFERROR(
VLOOKUP(
TRIM(
IF(ISNUMBER(FIND(",",E518)),
LEFT(E518,FIND(",",E518)-1),
E518
)
),
master!A:B,
2,
FALSE
),
"Belum ada mapping"
)
</f>
        <v>Jawa Barat</v>
      </c>
      <c r="M518" s="6">
        <f>IFERROR(__xludf.DUMMYFUNCTION("IF(REGEXMATCH(I518,""Cari Kerja""),1,0)
"),0.0)</f>
        <v>0</v>
      </c>
      <c r="N518" s="6">
        <f>IFERROR(__xludf.DUMMYFUNCTION("IF(REGEXMATCH(I518,""Upskill""),1,0)
"),1.0)</f>
        <v>1</v>
      </c>
      <c r="O518" s="6">
        <f>IFERROR(__xludf.DUMMYFUNCTION("IF(REGEXMATCH(I518,""Networking""),1,0)
"),1.0)</f>
        <v>1</v>
      </c>
      <c r="P518" s="6">
        <f>IFERROR(__xludf.DUMMYFUNCTION("IF(REGEXMATCH(I518,""Switch Career""),1,0)
"),0.0)</f>
        <v>0</v>
      </c>
    </row>
    <row r="519" ht="22.5" customHeight="1">
      <c r="A519" s="7">
        <v>46040.41950203704</v>
      </c>
      <c r="B519" s="8" t="s">
        <v>2185</v>
      </c>
      <c r="C519" s="8" t="s">
        <v>2186</v>
      </c>
      <c r="D519" s="9" t="s">
        <v>2187</v>
      </c>
      <c r="E519" s="8" t="s">
        <v>2188</v>
      </c>
      <c r="F519" s="8" t="s">
        <v>20</v>
      </c>
      <c r="G519" s="8" t="s">
        <v>282</v>
      </c>
      <c r="H519" s="8" t="s">
        <v>2189</v>
      </c>
      <c r="I519" s="8" t="s">
        <v>130</v>
      </c>
      <c r="J519" s="8" t="s">
        <v>24</v>
      </c>
      <c r="K519" s="6" t="str">
        <f t="shared" si="1"/>
        <v>0895337118654</v>
      </c>
      <c r="L519" s="6" t="str">
        <f>IFERROR(
VLOOKUP(
TRIM(
IF(ISNUMBER(FIND(",",E519)),
LEFT(E519,FIND(",",E519)-1),
E519
)
),
master!A:B,
2,
FALSE
),
"Belum ada mapping"
)
</f>
        <v>Jawa Barat</v>
      </c>
      <c r="M519" s="6">
        <f>IFERROR(__xludf.DUMMYFUNCTION("IF(REGEXMATCH(I519,""Cari Kerja""),1,0)
"),1.0)</f>
        <v>1</v>
      </c>
      <c r="N519" s="6">
        <f>IFERROR(__xludf.DUMMYFUNCTION("IF(REGEXMATCH(I519,""Upskill""),1,0)
"),1.0)</f>
        <v>1</v>
      </c>
      <c r="O519" s="6">
        <f>IFERROR(__xludf.DUMMYFUNCTION("IF(REGEXMATCH(I519,""Networking""),1,0)
"),0.0)</f>
        <v>0</v>
      </c>
      <c r="P519" s="6">
        <f>IFERROR(__xludf.DUMMYFUNCTION("IF(REGEXMATCH(I519,""Switch Career""),1,0)
"),0.0)</f>
        <v>0</v>
      </c>
    </row>
    <row r="520" ht="22.5" customHeight="1">
      <c r="A520" s="3">
        <v>46043.333185358795</v>
      </c>
      <c r="B520" s="5" t="s">
        <v>2190</v>
      </c>
      <c r="C520" s="5" t="s">
        <v>2191</v>
      </c>
      <c r="D520" s="4" t="s">
        <v>2192</v>
      </c>
      <c r="E520" s="5" t="s">
        <v>35</v>
      </c>
      <c r="F520" s="5" t="s">
        <v>49</v>
      </c>
      <c r="G520" s="5" t="s">
        <v>2193</v>
      </c>
      <c r="H520" s="5" t="s">
        <v>51</v>
      </c>
      <c r="I520" s="5" t="s">
        <v>31</v>
      </c>
      <c r="J520" s="5" t="s">
        <v>24</v>
      </c>
      <c r="K520" s="6" t="str">
        <f t="shared" si="1"/>
        <v>085121171214</v>
      </c>
      <c r="L520" s="6" t="str">
        <f>IFERROR(
VLOOKUP(
TRIM(
IF(ISNUMBER(FIND(",",E520)),
LEFT(E520,FIND(",",E520)-1),
E520
)
),
master!A:B,
2,
FALSE
),
"Belum ada mapping"
)
</f>
        <v>Jawa Timur</v>
      </c>
      <c r="M520" s="6">
        <f>IFERROR(__xludf.DUMMYFUNCTION("IF(REGEXMATCH(I520,""Cari Kerja""),1,0)
"),1.0)</f>
        <v>1</v>
      </c>
      <c r="N520" s="6">
        <f>IFERROR(__xludf.DUMMYFUNCTION("IF(REGEXMATCH(I520,""Upskill""),1,0)
"),1.0)</f>
        <v>1</v>
      </c>
      <c r="O520" s="6">
        <f>IFERROR(__xludf.DUMMYFUNCTION("IF(REGEXMATCH(I520,""Networking""),1,0)
"),1.0)</f>
        <v>1</v>
      </c>
      <c r="P520" s="6">
        <f>IFERROR(__xludf.DUMMYFUNCTION("IF(REGEXMATCH(I520,""Switch Career""),1,0)
"),1.0)</f>
        <v>1</v>
      </c>
    </row>
    <row r="521" ht="22.5" customHeight="1">
      <c r="A521" s="7">
        <v>46040.33069340278</v>
      </c>
      <c r="B521" s="8" t="s">
        <v>2194</v>
      </c>
      <c r="C521" s="8" t="s">
        <v>2195</v>
      </c>
      <c r="D521" s="9" t="s">
        <v>2196</v>
      </c>
      <c r="E521" s="8" t="s">
        <v>158</v>
      </c>
      <c r="F521" s="8" t="s">
        <v>20</v>
      </c>
      <c r="G521" s="8" t="s">
        <v>2197</v>
      </c>
      <c r="H521" s="8" t="s">
        <v>58</v>
      </c>
      <c r="I521" s="8" t="s">
        <v>235</v>
      </c>
      <c r="J521" s="8" t="s">
        <v>24</v>
      </c>
      <c r="K521" s="6" t="str">
        <f t="shared" si="1"/>
        <v>087876886966</v>
      </c>
      <c r="L521" s="6" t="str">
        <f>IFERROR(
VLOOKUP(
TRIM(
IF(ISNUMBER(FIND(",",E521)),
LEFT(E521,FIND(",",E521)-1),
E521
)
),
master!A:B,
2,
FALSE
),
"Belum ada mapping"
)
</f>
        <v>Jawa Barat</v>
      </c>
      <c r="M521" s="6">
        <f>IFERROR(__xludf.DUMMYFUNCTION("IF(REGEXMATCH(I521,""Cari Kerja""),1,0)
"),1.0)</f>
        <v>1</v>
      </c>
      <c r="N521" s="6">
        <f>IFERROR(__xludf.DUMMYFUNCTION("IF(REGEXMATCH(I521,""Upskill""),1,0)
"),1.0)</f>
        <v>1</v>
      </c>
      <c r="O521" s="6">
        <f>IFERROR(__xludf.DUMMYFUNCTION("IF(REGEXMATCH(I521,""Networking""),1,0)
"),0.0)</f>
        <v>0</v>
      </c>
      <c r="P521" s="6">
        <f>IFERROR(__xludf.DUMMYFUNCTION("IF(REGEXMATCH(I521,""Switch Career""),1,0)
"),1.0)</f>
        <v>1</v>
      </c>
    </row>
    <row r="522" ht="22.5" customHeight="1">
      <c r="A522" s="3">
        <v>46043.29243287037</v>
      </c>
      <c r="B522" s="5" t="s">
        <v>2198</v>
      </c>
      <c r="C522" s="5" t="s">
        <v>2199</v>
      </c>
      <c r="D522" s="4" t="s">
        <v>2200</v>
      </c>
      <c r="E522" s="5" t="s">
        <v>2201</v>
      </c>
      <c r="F522" s="5" t="s">
        <v>49</v>
      </c>
      <c r="G522" s="5" t="s">
        <v>2202</v>
      </c>
      <c r="H522" s="5" t="s">
        <v>51</v>
      </c>
      <c r="I522" s="5" t="s">
        <v>52</v>
      </c>
      <c r="J522" s="5" t="s">
        <v>24</v>
      </c>
      <c r="K522" s="6" t="str">
        <f t="shared" si="1"/>
        <v>085754160350</v>
      </c>
      <c r="L522" s="6" t="str">
        <f>IFERROR(
VLOOKUP(
TRIM(
IF(ISNUMBER(FIND(",",E522)),
LEFT(E522,FIND(",",E522)-1),
E522
)
),
master!A:B,
2,
FALSE
),
"Belum ada mapping"
)
</f>
        <v>Kalimantan Timur</v>
      </c>
      <c r="M522" s="6">
        <f>IFERROR(__xludf.DUMMYFUNCTION("IF(REGEXMATCH(I522,""Cari Kerja""),1,0)
"),0.0)</f>
        <v>0</v>
      </c>
      <c r="N522" s="6">
        <f>IFERROR(__xludf.DUMMYFUNCTION("IF(REGEXMATCH(I522,""Upskill""),1,0)
"),1.0)</f>
        <v>1</v>
      </c>
      <c r="O522" s="6">
        <f>IFERROR(__xludf.DUMMYFUNCTION("IF(REGEXMATCH(I522,""Networking""),1,0)
"),1.0)</f>
        <v>1</v>
      </c>
      <c r="P522" s="6">
        <f>IFERROR(__xludf.DUMMYFUNCTION("IF(REGEXMATCH(I522,""Switch Career""),1,0)
"),1.0)</f>
        <v>1</v>
      </c>
    </row>
    <row r="523" ht="22.5" customHeight="1">
      <c r="A523" s="3">
        <v>46043.670224456015</v>
      </c>
      <c r="B523" s="5" t="s">
        <v>2203</v>
      </c>
      <c r="C523" s="5" t="s">
        <v>2204</v>
      </c>
      <c r="D523" s="4" t="s">
        <v>2205</v>
      </c>
      <c r="E523" s="5" t="s">
        <v>218</v>
      </c>
      <c r="F523" s="5" t="s">
        <v>20</v>
      </c>
      <c r="G523" s="5" t="s">
        <v>69</v>
      </c>
      <c r="H523" s="5" t="s">
        <v>51</v>
      </c>
      <c r="I523" s="5" t="s">
        <v>52</v>
      </c>
      <c r="J523" s="5" t="s">
        <v>24</v>
      </c>
      <c r="K523" s="6" t="str">
        <f t="shared" si="1"/>
        <v>081364772682</v>
      </c>
      <c r="L523" s="6" t="str">
        <f>IFERROR(
VLOOKUP(
TRIM(
IF(ISNUMBER(FIND(",",E523)),
LEFT(E523,FIND(",",E523)-1),
E523
)
),
master!A:B,
2,
FALSE
),
"Belum ada mapping"
)
</f>
        <v>Banten</v>
      </c>
      <c r="M523" s="6">
        <f>IFERROR(__xludf.DUMMYFUNCTION("IF(REGEXMATCH(I523,""Cari Kerja""),1,0)
"),0.0)</f>
        <v>0</v>
      </c>
      <c r="N523" s="6">
        <f>IFERROR(__xludf.DUMMYFUNCTION("IF(REGEXMATCH(I523,""Upskill""),1,0)
"),1.0)</f>
        <v>1</v>
      </c>
      <c r="O523" s="6">
        <f>IFERROR(__xludf.DUMMYFUNCTION("IF(REGEXMATCH(I523,""Networking""),1,0)
"),1.0)</f>
        <v>1</v>
      </c>
      <c r="P523" s="6">
        <f>IFERROR(__xludf.DUMMYFUNCTION("IF(REGEXMATCH(I523,""Switch Career""),1,0)
"),1.0)</f>
        <v>1</v>
      </c>
    </row>
    <row r="524" ht="22.5" customHeight="1">
      <c r="A524" s="3">
        <v>46043.51293511574</v>
      </c>
      <c r="B524" s="5" t="s">
        <v>2206</v>
      </c>
      <c r="C524" s="5" t="s">
        <v>2207</v>
      </c>
      <c r="D524" s="4" t="s">
        <v>2208</v>
      </c>
      <c r="E524" s="5" t="s">
        <v>92</v>
      </c>
      <c r="F524" s="5" t="s">
        <v>49</v>
      </c>
      <c r="G524" s="5" t="s">
        <v>2209</v>
      </c>
      <c r="H524" s="5" t="s">
        <v>2210</v>
      </c>
      <c r="I524" s="5" t="s">
        <v>59</v>
      </c>
      <c r="J524" s="5" t="s">
        <v>24</v>
      </c>
      <c r="K524" s="6" t="str">
        <f t="shared" si="1"/>
        <v>081574781009</v>
      </c>
      <c r="L524" s="6" t="str">
        <f>IFERROR(
VLOOKUP(
TRIM(
IF(ISNUMBER(FIND(",",E524)),
LEFT(E524,FIND(",",E524)-1),
E524
)
),
master!A:B,
2,
FALSE
),
"Belum ada mapping"
)
</f>
        <v>Jawa Barat</v>
      </c>
      <c r="M524" s="6">
        <f>IFERROR(__xludf.DUMMYFUNCTION("IF(REGEXMATCH(I524,""Cari Kerja""),1,0)
"),0.0)</f>
        <v>0</v>
      </c>
      <c r="N524" s="6">
        <f>IFERROR(__xludf.DUMMYFUNCTION("IF(REGEXMATCH(I524,""Upskill""),1,0)
"),1.0)</f>
        <v>1</v>
      </c>
      <c r="O524" s="6">
        <f>IFERROR(__xludf.DUMMYFUNCTION("IF(REGEXMATCH(I524,""Networking""),1,0)
"),1.0)</f>
        <v>1</v>
      </c>
      <c r="P524" s="6">
        <f>IFERROR(__xludf.DUMMYFUNCTION("IF(REGEXMATCH(I524,""Switch Career""),1,0)
"),0.0)</f>
        <v>0</v>
      </c>
    </row>
    <row r="525" ht="22.5" customHeight="1">
      <c r="A525" s="3">
        <v>46042.301432175926</v>
      </c>
      <c r="B525" s="5" t="s">
        <v>2211</v>
      </c>
      <c r="C525" s="5" t="s">
        <v>2212</v>
      </c>
      <c r="D525" s="4" t="s">
        <v>2213</v>
      </c>
      <c r="E525" s="5" t="s">
        <v>2214</v>
      </c>
      <c r="F525" s="5" t="s">
        <v>20</v>
      </c>
      <c r="G525" s="5" t="s">
        <v>2215</v>
      </c>
      <c r="H525" s="5" t="s">
        <v>51</v>
      </c>
      <c r="I525" s="5" t="s">
        <v>31</v>
      </c>
      <c r="J525" s="5" t="s">
        <v>24</v>
      </c>
      <c r="K525" s="6" t="str">
        <f t="shared" si="1"/>
        <v>082138707435</v>
      </c>
      <c r="L525" s="6" t="str">
        <f>IFERROR(
VLOOKUP(
TRIM(
IF(ISNUMBER(FIND(",",E525)),
LEFT(E525,FIND(",",E525)-1),
E525
)
),
master!A:B,
2,
FALSE
),
"Belum ada mapping"
)
</f>
        <v>Jawa Tengah</v>
      </c>
      <c r="M525" s="6">
        <f>IFERROR(__xludf.DUMMYFUNCTION("IF(REGEXMATCH(I525,""Cari Kerja""),1,0)
"),1.0)</f>
        <v>1</v>
      </c>
      <c r="N525" s="6">
        <f>IFERROR(__xludf.DUMMYFUNCTION("IF(REGEXMATCH(I525,""Upskill""),1,0)
"),1.0)</f>
        <v>1</v>
      </c>
      <c r="O525" s="6">
        <f>IFERROR(__xludf.DUMMYFUNCTION("IF(REGEXMATCH(I525,""Networking""),1,0)
"),1.0)</f>
        <v>1</v>
      </c>
      <c r="P525" s="6">
        <f>IFERROR(__xludf.DUMMYFUNCTION("IF(REGEXMATCH(I525,""Switch Career""),1,0)
"),1.0)</f>
        <v>1</v>
      </c>
    </row>
    <row r="526" ht="22.5" customHeight="1">
      <c r="A526" s="7">
        <v>46040.35306523148</v>
      </c>
      <c r="B526" s="8" t="s">
        <v>2216</v>
      </c>
      <c r="C526" s="8" t="s">
        <v>2217</v>
      </c>
      <c r="D526" s="9" t="s">
        <v>2218</v>
      </c>
      <c r="E526" s="8" t="s">
        <v>2219</v>
      </c>
      <c r="F526" s="8" t="s">
        <v>49</v>
      </c>
      <c r="G526" s="8" t="s">
        <v>69</v>
      </c>
      <c r="H526" s="8" t="s">
        <v>278</v>
      </c>
      <c r="I526" s="8" t="s">
        <v>130</v>
      </c>
      <c r="J526" s="8" t="s">
        <v>24</v>
      </c>
      <c r="K526" s="6" t="str">
        <f t="shared" si="1"/>
        <v>081275305819</v>
      </c>
      <c r="L526" s="6" t="str">
        <f>IFERROR(
VLOOKUP(
TRIM(
IF(ISNUMBER(FIND(",",E526)),
LEFT(E526,FIND(",",E526)-1),
E526
)
),
master!A:B,
2,
FALSE
),
"Belum ada mapping"
)
</f>
        <v>Sumatera Barat</v>
      </c>
      <c r="M526" s="6">
        <f>IFERROR(__xludf.DUMMYFUNCTION("IF(REGEXMATCH(I526,""Cari Kerja""),1,0)
"),1.0)</f>
        <v>1</v>
      </c>
      <c r="N526" s="6">
        <f>IFERROR(__xludf.DUMMYFUNCTION("IF(REGEXMATCH(I526,""Upskill""),1,0)
"),1.0)</f>
        <v>1</v>
      </c>
      <c r="O526" s="6">
        <f>IFERROR(__xludf.DUMMYFUNCTION("IF(REGEXMATCH(I526,""Networking""),1,0)
"),0.0)</f>
        <v>0</v>
      </c>
      <c r="P526" s="6">
        <f>IFERROR(__xludf.DUMMYFUNCTION("IF(REGEXMATCH(I526,""Switch Career""),1,0)
"),0.0)</f>
        <v>0</v>
      </c>
    </row>
    <row r="527" ht="22.5" customHeight="1">
      <c r="A527" s="3">
        <v>46043.41294711806</v>
      </c>
      <c r="B527" s="5" t="s">
        <v>2220</v>
      </c>
      <c r="C527" s="5" t="s">
        <v>2221</v>
      </c>
      <c r="D527" s="4" t="s">
        <v>2222</v>
      </c>
      <c r="E527" s="5" t="s">
        <v>207</v>
      </c>
      <c r="F527" s="5" t="s">
        <v>49</v>
      </c>
      <c r="G527" s="5" t="s">
        <v>2223</v>
      </c>
      <c r="H527" s="5" t="s">
        <v>51</v>
      </c>
      <c r="I527" s="5" t="s">
        <v>23</v>
      </c>
      <c r="J527" s="5" t="s">
        <v>24</v>
      </c>
      <c r="K527" s="6" t="str">
        <f t="shared" si="1"/>
        <v>08994688875</v>
      </c>
      <c r="L527" s="6" t="str">
        <f>IFERROR(
VLOOKUP(
TRIM(
IF(ISNUMBER(FIND(",",E527)),
LEFT(E527,FIND(",",E527)-1),
E527
)
),
master!A:B,
2,
FALSE
),
"Belum ada mapping"
)
</f>
        <v>Jakarta</v>
      </c>
      <c r="M527" s="6">
        <f>IFERROR(__xludf.DUMMYFUNCTION("IF(REGEXMATCH(I527,""Cari Kerja""),1,0)
"),1.0)</f>
        <v>1</v>
      </c>
      <c r="N527" s="6">
        <f>IFERROR(__xludf.DUMMYFUNCTION("IF(REGEXMATCH(I527,""Upskill""),1,0)
"),1.0)</f>
        <v>1</v>
      </c>
      <c r="O527" s="6">
        <f>IFERROR(__xludf.DUMMYFUNCTION("IF(REGEXMATCH(I527,""Networking""),1,0)
"),1.0)</f>
        <v>1</v>
      </c>
      <c r="P527" s="6">
        <f>IFERROR(__xludf.DUMMYFUNCTION("IF(REGEXMATCH(I527,""Switch Career""),1,0)
"),0.0)</f>
        <v>0</v>
      </c>
    </row>
    <row r="528" ht="22.5" customHeight="1">
      <c r="A528" s="3">
        <v>46045.517240914356</v>
      </c>
      <c r="B528" s="5" t="s">
        <v>2220</v>
      </c>
      <c r="C528" s="5" t="s">
        <v>2221</v>
      </c>
      <c r="D528" s="4" t="s">
        <v>2224</v>
      </c>
      <c r="E528" s="5" t="s">
        <v>207</v>
      </c>
      <c r="F528" s="5" t="s">
        <v>49</v>
      </c>
      <c r="G528" s="5" t="s">
        <v>69</v>
      </c>
      <c r="H528" s="5" t="s">
        <v>51</v>
      </c>
      <c r="I528" s="5" t="s">
        <v>23</v>
      </c>
      <c r="J528" s="5" t="s">
        <v>24</v>
      </c>
      <c r="K528" s="6" t="str">
        <f t="shared" si="1"/>
        <v>081261621330</v>
      </c>
      <c r="L528" s="6" t="str">
        <f>IFERROR(
VLOOKUP(
TRIM(
IF(ISNUMBER(FIND(",",E528)),
LEFT(E528,FIND(",",E528)-1),
E528
)
),
master!A:B,
2,
FALSE
),
"Belum ada mapping"
)
</f>
        <v>Jakarta</v>
      </c>
      <c r="M528" s="6">
        <f>IFERROR(__xludf.DUMMYFUNCTION("IF(REGEXMATCH(I528,""Cari Kerja""),1,0)
"),1.0)</f>
        <v>1</v>
      </c>
      <c r="N528" s="6">
        <f>IFERROR(__xludf.DUMMYFUNCTION("IF(REGEXMATCH(I528,""Upskill""),1,0)
"),1.0)</f>
        <v>1</v>
      </c>
      <c r="O528" s="6">
        <f>IFERROR(__xludf.DUMMYFUNCTION("IF(REGEXMATCH(I528,""Networking""),1,0)
"),1.0)</f>
        <v>1</v>
      </c>
      <c r="P528" s="6">
        <f>IFERROR(__xludf.DUMMYFUNCTION("IF(REGEXMATCH(I528,""Switch Career""),1,0)
"),0.0)</f>
        <v>0</v>
      </c>
    </row>
    <row r="529" ht="22.5" customHeight="1">
      <c r="A529" s="3">
        <v>46042.475881307866</v>
      </c>
      <c r="B529" s="5" t="s">
        <v>2225</v>
      </c>
      <c r="C529" s="5" t="s">
        <v>2226</v>
      </c>
      <c r="D529" s="4" t="s">
        <v>2227</v>
      </c>
      <c r="E529" s="5" t="s">
        <v>2228</v>
      </c>
      <c r="F529" s="5" t="s">
        <v>20</v>
      </c>
      <c r="G529" s="5" t="s">
        <v>69</v>
      </c>
      <c r="H529" s="5" t="s">
        <v>577</v>
      </c>
      <c r="I529" s="5" t="s">
        <v>59</v>
      </c>
      <c r="J529" s="5" t="s">
        <v>38</v>
      </c>
      <c r="K529" s="6" t="str">
        <f t="shared" si="1"/>
        <v>087881497247</v>
      </c>
      <c r="L529" s="6" t="str">
        <f>IFERROR(
VLOOKUP(
TRIM(
IF(ISNUMBER(FIND(",",E529)),
LEFT(E529,FIND(",",E529)-1),
E529
)
),
master!A:B,
2,
FALSE
),
"Belum ada mapping"
)
</f>
        <v>Jawa Timur</v>
      </c>
      <c r="M529" s="6">
        <f>IFERROR(__xludf.DUMMYFUNCTION("IF(REGEXMATCH(I529,""Cari Kerja""),1,0)
"),0.0)</f>
        <v>0</v>
      </c>
      <c r="N529" s="6">
        <f>IFERROR(__xludf.DUMMYFUNCTION("IF(REGEXMATCH(I529,""Upskill""),1,0)
"),1.0)</f>
        <v>1</v>
      </c>
      <c r="O529" s="6">
        <f>IFERROR(__xludf.DUMMYFUNCTION("IF(REGEXMATCH(I529,""Networking""),1,0)
"),1.0)</f>
        <v>1</v>
      </c>
      <c r="P529" s="6">
        <f>IFERROR(__xludf.DUMMYFUNCTION("IF(REGEXMATCH(I529,""Switch Career""),1,0)
"),0.0)</f>
        <v>0</v>
      </c>
    </row>
    <row r="530" ht="22.5" customHeight="1">
      <c r="A530" s="3">
        <v>46064.40073258102</v>
      </c>
      <c r="B530" s="5" t="s">
        <v>2229</v>
      </c>
      <c r="C530" s="5" t="s">
        <v>2230</v>
      </c>
      <c r="D530" s="4" t="s">
        <v>2231</v>
      </c>
      <c r="E530" s="5" t="s">
        <v>207</v>
      </c>
      <c r="F530" s="5" t="s">
        <v>20</v>
      </c>
      <c r="G530" s="5" t="s">
        <v>2232</v>
      </c>
      <c r="H530" s="5" t="s">
        <v>51</v>
      </c>
      <c r="I530" s="5" t="s">
        <v>59</v>
      </c>
      <c r="J530" s="5" t="s">
        <v>38</v>
      </c>
      <c r="K530" s="10" t="str">
        <f t="shared" si="1"/>
        <v>087843931661</v>
      </c>
      <c r="L530" s="10" t="str">
        <f>IFERROR(
VLOOKUP(
TRIM(
IF(ISNUMBER(FIND(",",E530)),
LEFT(E530,FIND(",",E530)-1),
E530
)
),
master!A:B,
2,
FALSE
),
"Belum ada mapping"
)
</f>
        <v>Jakarta</v>
      </c>
      <c r="M530" s="10">
        <f>IFERROR(__xludf.DUMMYFUNCTION("IF(REGEXMATCH(I530,""Cari Kerja""),1,0)
"),0.0)</f>
        <v>0</v>
      </c>
      <c r="N530" s="10">
        <f>IFERROR(__xludf.DUMMYFUNCTION("IF(REGEXMATCH(I530,""Upskill""),1,0)
"),1.0)</f>
        <v>1</v>
      </c>
      <c r="O530" s="10">
        <f>IFERROR(__xludf.DUMMYFUNCTION("IF(REGEXMATCH(I530,""Networking""),1,0)
"),1.0)</f>
        <v>1</v>
      </c>
      <c r="P530" s="10">
        <f>IFERROR(__xludf.DUMMYFUNCTION("IF(REGEXMATCH(I530,""Switch Career""),1,0)
"),0.0)</f>
        <v>0</v>
      </c>
    </row>
    <row r="531" ht="22.5" customHeight="1">
      <c r="A531" s="7">
        <v>46041.40338934028</v>
      </c>
      <c r="B531" s="8" t="s">
        <v>2233</v>
      </c>
      <c r="C531" s="8" t="s">
        <v>2234</v>
      </c>
      <c r="D531" s="9" t="s">
        <v>2235</v>
      </c>
      <c r="E531" s="8" t="s">
        <v>2236</v>
      </c>
      <c r="F531" s="8" t="s">
        <v>20</v>
      </c>
      <c r="G531" s="8" t="s">
        <v>703</v>
      </c>
      <c r="H531" s="8" t="s">
        <v>225</v>
      </c>
      <c r="I531" s="8" t="s">
        <v>31</v>
      </c>
      <c r="J531" s="8" t="s">
        <v>24</v>
      </c>
      <c r="K531" s="6" t="str">
        <f t="shared" si="1"/>
        <v>082242020610</v>
      </c>
      <c r="L531" s="6" t="str">
        <f>IFERROR(
VLOOKUP(
TRIM(
IF(ISNUMBER(FIND(",",E531)),
LEFT(E531,FIND(",",E531)-1),
E531
)
),
master!A:B,
2,
FALSE
),
"Belum ada mapping"
)
</f>
        <v>Jawa Tengah</v>
      </c>
      <c r="M531" s="6">
        <f>IFERROR(__xludf.DUMMYFUNCTION("IF(REGEXMATCH(I531,""Cari Kerja""),1,0)
"),1.0)</f>
        <v>1</v>
      </c>
      <c r="N531" s="6">
        <f>IFERROR(__xludf.DUMMYFUNCTION("IF(REGEXMATCH(I531,""Upskill""),1,0)
"),1.0)</f>
        <v>1</v>
      </c>
      <c r="O531" s="6">
        <f>IFERROR(__xludf.DUMMYFUNCTION("IF(REGEXMATCH(I531,""Networking""),1,0)
"),1.0)</f>
        <v>1</v>
      </c>
      <c r="P531" s="6">
        <f>IFERROR(__xludf.DUMMYFUNCTION("IF(REGEXMATCH(I531,""Switch Career""),1,0)
"),1.0)</f>
        <v>1</v>
      </c>
    </row>
    <row r="532" ht="22.5" customHeight="1">
      <c r="A532" s="3">
        <v>46133.85242792824</v>
      </c>
      <c r="B532" s="5" t="s">
        <v>2237</v>
      </c>
      <c r="C532" s="5" t="s">
        <v>2238</v>
      </c>
      <c r="D532" s="4" t="s">
        <v>2239</v>
      </c>
      <c r="E532" s="5" t="s">
        <v>74</v>
      </c>
      <c r="F532" s="5" t="s">
        <v>49</v>
      </c>
      <c r="G532" s="5" t="s">
        <v>2240</v>
      </c>
      <c r="H532" s="5" t="s">
        <v>187</v>
      </c>
      <c r="I532" s="5" t="s">
        <v>31</v>
      </c>
      <c r="J532" s="5" t="s">
        <v>76</v>
      </c>
      <c r="K532" s="10" t="str">
        <f t="shared" si="1"/>
        <v>082273310541</v>
      </c>
      <c r="L532" s="10" t="str">
        <f>IFERROR(
VLOOKUP(
TRIM(
IF(ISNUMBER(FIND(",",E532)),
LEFT(E532,FIND(",",E532)-1),
E532
)
),
master!A:B,
2,
FALSE
),
"Belum ada mapping"
)
</f>
        <v>Banten</v>
      </c>
      <c r="M532" s="10">
        <f>IFERROR(__xludf.DUMMYFUNCTION("IF(REGEXMATCH(I532,""Cari Kerja""),1,0)
"),1.0)</f>
        <v>1</v>
      </c>
      <c r="N532" s="10">
        <f>IFERROR(__xludf.DUMMYFUNCTION("IF(REGEXMATCH(I532,""Upskill""),1,0)
"),1.0)</f>
        <v>1</v>
      </c>
      <c r="O532" s="10">
        <f>IFERROR(__xludf.DUMMYFUNCTION("IF(REGEXMATCH(I532,""Networking""),1,0)
"),1.0)</f>
        <v>1</v>
      </c>
      <c r="P532" s="10">
        <f>IFERROR(__xludf.DUMMYFUNCTION("IF(REGEXMATCH(I532,""Switch Career""),1,0)
"),1.0)</f>
        <v>1</v>
      </c>
    </row>
    <row r="533" ht="22.5" customHeight="1">
      <c r="A533" s="3">
        <v>46048.95801260417</v>
      </c>
      <c r="B533" s="5" t="s">
        <v>2241</v>
      </c>
      <c r="C533" s="5" t="s">
        <v>2242</v>
      </c>
      <c r="D533" s="4" t="s">
        <v>2243</v>
      </c>
      <c r="E533" s="5" t="s">
        <v>2244</v>
      </c>
      <c r="F533" s="5" t="s">
        <v>49</v>
      </c>
      <c r="G533" s="5" t="s">
        <v>656</v>
      </c>
      <c r="H533" s="5" t="s">
        <v>51</v>
      </c>
      <c r="I533" s="5" t="s">
        <v>31</v>
      </c>
      <c r="J533" s="5" t="s">
        <v>24</v>
      </c>
      <c r="K533" s="6" t="str">
        <f t="shared" si="1"/>
        <v>081574821229</v>
      </c>
      <c r="L533" s="6" t="str">
        <f>IFERROR(
VLOOKUP(
TRIM(
IF(ISNUMBER(FIND(",",E533)),
LEFT(E533,FIND(",",E533)-1),
E533
)
),
master!A:B,
2,
FALSE
),
"Belum ada mapping"
)
</f>
        <v>Jawa Barat</v>
      </c>
      <c r="M533" s="6">
        <f>IFERROR(__xludf.DUMMYFUNCTION("IF(REGEXMATCH(I533,""Cari Kerja""),1,0)
"),1.0)</f>
        <v>1</v>
      </c>
      <c r="N533" s="6">
        <f>IFERROR(__xludf.DUMMYFUNCTION("IF(REGEXMATCH(I533,""Upskill""),1,0)
"),1.0)</f>
        <v>1</v>
      </c>
      <c r="O533" s="6">
        <f>IFERROR(__xludf.DUMMYFUNCTION("IF(REGEXMATCH(I533,""Networking""),1,0)
"),1.0)</f>
        <v>1</v>
      </c>
      <c r="P533" s="6">
        <f>IFERROR(__xludf.DUMMYFUNCTION("IF(REGEXMATCH(I533,""Switch Career""),1,0)
"),1.0)</f>
        <v>1</v>
      </c>
    </row>
    <row r="534" ht="22.5" customHeight="1">
      <c r="A534" s="7">
        <v>46041.397462442124</v>
      </c>
      <c r="B534" s="8" t="s">
        <v>2245</v>
      </c>
      <c r="C534" s="8" t="s">
        <v>2246</v>
      </c>
      <c r="D534" s="9" t="s">
        <v>2247</v>
      </c>
      <c r="E534" s="8" t="s">
        <v>74</v>
      </c>
      <c r="F534" s="8" t="s">
        <v>20</v>
      </c>
      <c r="G534" s="8" t="s">
        <v>2248</v>
      </c>
      <c r="H534" s="8" t="s">
        <v>278</v>
      </c>
      <c r="I534" s="8" t="s">
        <v>23</v>
      </c>
      <c r="J534" s="8" t="s">
        <v>24</v>
      </c>
      <c r="K534" s="6" t="str">
        <f t="shared" si="1"/>
        <v>082124617541</v>
      </c>
      <c r="L534" s="6" t="str">
        <f>IFERROR(
VLOOKUP(
TRIM(
IF(ISNUMBER(FIND(",",E534)),
LEFT(E534,FIND(",",E534)-1),
E534
)
),
master!A:B,
2,
FALSE
),
"Belum ada mapping"
)
</f>
        <v>Banten</v>
      </c>
      <c r="M534" s="6">
        <f>IFERROR(__xludf.DUMMYFUNCTION("IF(REGEXMATCH(I534,""Cari Kerja""),1,0)
"),1.0)</f>
        <v>1</v>
      </c>
      <c r="N534" s="6">
        <f>IFERROR(__xludf.DUMMYFUNCTION("IF(REGEXMATCH(I534,""Upskill""),1,0)
"),1.0)</f>
        <v>1</v>
      </c>
      <c r="O534" s="6">
        <f>IFERROR(__xludf.DUMMYFUNCTION("IF(REGEXMATCH(I534,""Networking""),1,0)
"),1.0)</f>
        <v>1</v>
      </c>
      <c r="P534" s="6">
        <f>IFERROR(__xludf.DUMMYFUNCTION("IF(REGEXMATCH(I534,""Switch Career""),1,0)
"),0.0)</f>
        <v>0</v>
      </c>
    </row>
    <row r="535" ht="22.5" customHeight="1">
      <c r="A535" s="3">
        <v>46044.28057204861</v>
      </c>
      <c r="B535" s="5" t="s">
        <v>2249</v>
      </c>
      <c r="C535" s="5" t="s">
        <v>2250</v>
      </c>
      <c r="D535" s="4" t="s">
        <v>2251</v>
      </c>
      <c r="E535" s="5" t="s">
        <v>2252</v>
      </c>
      <c r="F535" s="5" t="s">
        <v>20</v>
      </c>
      <c r="G535" s="5" t="s">
        <v>2253</v>
      </c>
      <c r="H535" s="5" t="s">
        <v>187</v>
      </c>
      <c r="I535" s="5" t="s">
        <v>31</v>
      </c>
      <c r="J535" s="5" t="s">
        <v>24</v>
      </c>
      <c r="K535" s="6" t="str">
        <f t="shared" si="1"/>
        <v>085313384138</v>
      </c>
      <c r="L535" s="6" t="str">
        <f>IFERROR(
VLOOKUP(
TRIM(
IF(ISNUMBER(FIND(",",E535)),
LEFT(E535,FIND(",",E535)-1),
E535
)
),
master!A:B,
2,
FALSE
),
"Belum ada mapping"
)
</f>
        <v>Bengkulu</v>
      </c>
      <c r="M535" s="6">
        <f>IFERROR(__xludf.DUMMYFUNCTION("IF(REGEXMATCH(I535,""Cari Kerja""),1,0)
"),1.0)</f>
        <v>1</v>
      </c>
      <c r="N535" s="6">
        <f>IFERROR(__xludf.DUMMYFUNCTION("IF(REGEXMATCH(I535,""Upskill""),1,0)
"),1.0)</f>
        <v>1</v>
      </c>
      <c r="O535" s="6">
        <f>IFERROR(__xludf.DUMMYFUNCTION("IF(REGEXMATCH(I535,""Networking""),1,0)
"),1.0)</f>
        <v>1</v>
      </c>
      <c r="P535" s="6">
        <f>IFERROR(__xludf.DUMMYFUNCTION("IF(REGEXMATCH(I535,""Switch Career""),1,0)
"),1.0)</f>
        <v>1</v>
      </c>
    </row>
    <row r="536" ht="22.5" customHeight="1">
      <c r="A536" s="7">
        <v>46040.359385752316</v>
      </c>
      <c r="B536" s="8" t="s">
        <v>2254</v>
      </c>
      <c r="C536" s="8" t="s">
        <v>2255</v>
      </c>
      <c r="D536" s="9" t="s">
        <v>2256</v>
      </c>
      <c r="E536" s="8" t="s">
        <v>233</v>
      </c>
      <c r="F536" s="8" t="s">
        <v>20</v>
      </c>
      <c r="G536" s="8" t="s">
        <v>2257</v>
      </c>
      <c r="H536" s="8" t="s">
        <v>340</v>
      </c>
      <c r="I536" s="8" t="s">
        <v>31</v>
      </c>
      <c r="J536" s="8" t="s">
        <v>76</v>
      </c>
      <c r="K536" s="6" t="str">
        <f t="shared" si="1"/>
        <v>081385454643</v>
      </c>
      <c r="L536" s="6" t="str">
        <f>IFERROR(
VLOOKUP(
TRIM(
IF(ISNUMBER(FIND(",",E536)),
LEFT(E536,FIND(",",E536)-1),
E536
)
),
master!A:B,
2,
FALSE
),
"Belum ada mapping"
)
</f>
        <v>Banten</v>
      </c>
      <c r="M536" s="6">
        <f>IFERROR(__xludf.DUMMYFUNCTION("IF(REGEXMATCH(I536,""Cari Kerja""),1,0)
"),1.0)</f>
        <v>1</v>
      </c>
      <c r="N536" s="6">
        <f>IFERROR(__xludf.DUMMYFUNCTION("IF(REGEXMATCH(I536,""Upskill""),1,0)
"),1.0)</f>
        <v>1</v>
      </c>
      <c r="O536" s="6">
        <f>IFERROR(__xludf.DUMMYFUNCTION("IF(REGEXMATCH(I536,""Networking""),1,0)
"),1.0)</f>
        <v>1</v>
      </c>
      <c r="P536" s="6">
        <f>IFERROR(__xludf.DUMMYFUNCTION("IF(REGEXMATCH(I536,""Switch Career""),1,0)
"),1.0)</f>
        <v>1</v>
      </c>
    </row>
    <row r="537" ht="22.5" customHeight="1">
      <c r="A537" s="3">
        <v>46043.28955233796</v>
      </c>
      <c r="B537" s="5" t="s">
        <v>2258</v>
      </c>
      <c r="C537" s="5" t="s">
        <v>2259</v>
      </c>
      <c r="D537" s="4" t="s">
        <v>2260</v>
      </c>
      <c r="E537" s="5" t="s">
        <v>1455</v>
      </c>
      <c r="F537" s="5" t="s">
        <v>49</v>
      </c>
      <c r="G537" s="5" t="s">
        <v>867</v>
      </c>
      <c r="H537" s="5" t="s">
        <v>2261</v>
      </c>
      <c r="I537" s="5" t="s">
        <v>31</v>
      </c>
      <c r="J537" s="5" t="s">
        <v>24</v>
      </c>
      <c r="K537" s="6" t="str">
        <f t="shared" si="1"/>
        <v>085828485125</v>
      </c>
      <c r="L537" s="6" t="str">
        <f>IFERROR(
VLOOKUP(
TRIM(
IF(ISNUMBER(FIND(",",E537)),
LEFT(E537,FIND(",",E537)-1),
E537
)
),
master!A:B,
2,
FALSE
),
"Belum ada mapping"
)
</f>
        <v>Kalimantan Selatan</v>
      </c>
      <c r="M537" s="6">
        <f>IFERROR(__xludf.DUMMYFUNCTION("IF(REGEXMATCH(I537,""Cari Kerja""),1,0)
"),1.0)</f>
        <v>1</v>
      </c>
      <c r="N537" s="6">
        <f>IFERROR(__xludf.DUMMYFUNCTION("IF(REGEXMATCH(I537,""Upskill""),1,0)
"),1.0)</f>
        <v>1</v>
      </c>
      <c r="O537" s="6">
        <f>IFERROR(__xludf.DUMMYFUNCTION("IF(REGEXMATCH(I537,""Networking""),1,0)
"),1.0)</f>
        <v>1</v>
      </c>
      <c r="P537" s="6">
        <f>IFERROR(__xludf.DUMMYFUNCTION("IF(REGEXMATCH(I537,""Switch Career""),1,0)
"),1.0)</f>
        <v>1</v>
      </c>
    </row>
    <row r="538" ht="22.5" customHeight="1">
      <c r="A538" s="3">
        <v>46049.471184594906</v>
      </c>
      <c r="B538" s="5" t="s">
        <v>2262</v>
      </c>
      <c r="C538" s="5" t="s">
        <v>2263</v>
      </c>
      <c r="D538" s="4" t="s">
        <v>2264</v>
      </c>
      <c r="E538" s="5" t="s">
        <v>2265</v>
      </c>
      <c r="F538" s="5" t="s">
        <v>49</v>
      </c>
      <c r="G538" s="5" t="s">
        <v>2266</v>
      </c>
      <c r="H538" s="5" t="s">
        <v>51</v>
      </c>
      <c r="I538" s="5" t="s">
        <v>59</v>
      </c>
      <c r="J538" s="5" t="s">
        <v>24</v>
      </c>
      <c r="K538" s="10" t="str">
        <f t="shared" si="1"/>
        <v>082112367772</v>
      </c>
      <c r="L538" s="10" t="str">
        <f>IFERROR(
VLOOKUP(
TRIM(
IF(ISNUMBER(FIND(",",E538)),
LEFT(E538,FIND(",",E538)-1),
E538
)
),
master!A:B,
2,
FALSE
),
"Belum ada mapping"
)
</f>
        <v>Jakarta</v>
      </c>
      <c r="M538" s="6">
        <f>IFERROR(__xludf.DUMMYFUNCTION("IF(REGEXMATCH(I538,""Cari Kerja""),1,0)
"),0.0)</f>
        <v>0</v>
      </c>
      <c r="N538" s="6">
        <f>IFERROR(__xludf.DUMMYFUNCTION("IF(REGEXMATCH(I538,""Upskill""),1,0)
"),1.0)</f>
        <v>1</v>
      </c>
      <c r="O538" s="6">
        <f>IFERROR(__xludf.DUMMYFUNCTION("IF(REGEXMATCH(I538,""Networking""),1,0)
"),1.0)</f>
        <v>1</v>
      </c>
      <c r="P538" s="6">
        <f>IFERROR(__xludf.DUMMYFUNCTION("IF(REGEXMATCH(I538,""Switch Career""),1,0)
"),0.0)</f>
        <v>0</v>
      </c>
    </row>
    <row r="539" ht="22.5" customHeight="1">
      <c r="A539" s="7">
        <v>46040.42579849537</v>
      </c>
      <c r="B539" s="8" t="s">
        <v>2267</v>
      </c>
      <c r="C539" s="8" t="s">
        <v>2268</v>
      </c>
      <c r="D539" s="9" t="s">
        <v>2269</v>
      </c>
      <c r="E539" s="8" t="s">
        <v>565</v>
      </c>
      <c r="F539" s="8" t="s">
        <v>20</v>
      </c>
      <c r="G539" s="8" t="s">
        <v>2270</v>
      </c>
      <c r="H539" s="8" t="s">
        <v>51</v>
      </c>
      <c r="I539" s="8" t="s">
        <v>23</v>
      </c>
      <c r="J539" s="8" t="s">
        <v>24</v>
      </c>
      <c r="K539" s="6" t="str">
        <f t="shared" si="1"/>
        <v>081283033436</v>
      </c>
      <c r="L539" s="6" t="str">
        <f>IFERROR(
VLOOKUP(
TRIM(
IF(ISNUMBER(FIND(",",E539)),
LEFT(E539,FIND(",",E539)-1),
E539
)
),
master!A:B,
2,
FALSE
),
"Belum ada mapping"
)
</f>
        <v>Riau</v>
      </c>
      <c r="M539" s="6">
        <f>IFERROR(__xludf.DUMMYFUNCTION("IF(REGEXMATCH(I539,""Cari Kerja""),1,0)
"),1.0)</f>
        <v>1</v>
      </c>
      <c r="N539" s="6">
        <f>IFERROR(__xludf.DUMMYFUNCTION("IF(REGEXMATCH(I539,""Upskill""),1,0)
"),1.0)</f>
        <v>1</v>
      </c>
      <c r="O539" s="6">
        <f>IFERROR(__xludf.DUMMYFUNCTION("IF(REGEXMATCH(I539,""Networking""),1,0)
"),1.0)</f>
        <v>1</v>
      </c>
      <c r="P539" s="6">
        <f>IFERROR(__xludf.DUMMYFUNCTION("IF(REGEXMATCH(I539,""Switch Career""),1,0)
"),0.0)</f>
        <v>0</v>
      </c>
    </row>
    <row r="540" ht="22.5" customHeight="1">
      <c r="A540" s="3">
        <v>46042.341490844905</v>
      </c>
      <c r="B540" s="5" t="s">
        <v>2271</v>
      </c>
      <c r="C540" s="5" t="s">
        <v>2272</v>
      </c>
      <c r="D540" s="4" t="s">
        <v>2273</v>
      </c>
      <c r="E540" s="5" t="s">
        <v>2274</v>
      </c>
      <c r="F540" s="5" t="s">
        <v>20</v>
      </c>
      <c r="G540" s="5" t="s">
        <v>2275</v>
      </c>
      <c r="H540" s="5" t="s">
        <v>577</v>
      </c>
      <c r="I540" s="5" t="s">
        <v>23</v>
      </c>
      <c r="J540" s="5" t="s">
        <v>24</v>
      </c>
      <c r="K540" s="6" t="str">
        <f t="shared" si="1"/>
        <v>081227297216</v>
      </c>
      <c r="L540" s="6" t="str">
        <f>IFERROR(
VLOOKUP(
TRIM(
IF(ISNUMBER(FIND(",",E540)),
LEFT(E540,FIND(",",E540)-1),
E540
)
),
master!A:B,
2,
FALSE
),
"Belum ada mapping"
)
</f>
        <v>Jawa Tengah</v>
      </c>
      <c r="M540" s="6">
        <f>IFERROR(__xludf.DUMMYFUNCTION("IF(REGEXMATCH(I540,""Cari Kerja""),1,0)
"),1.0)</f>
        <v>1</v>
      </c>
      <c r="N540" s="6">
        <f>IFERROR(__xludf.DUMMYFUNCTION("IF(REGEXMATCH(I540,""Upskill""),1,0)
"),1.0)</f>
        <v>1</v>
      </c>
      <c r="O540" s="6">
        <f>IFERROR(__xludf.DUMMYFUNCTION("IF(REGEXMATCH(I540,""Networking""),1,0)
"),1.0)</f>
        <v>1</v>
      </c>
      <c r="P540" s="6">
        <f>IFERROR(__xludf.DUMMYFUNCTION("IF(REGEXMATCH(I540,""Switch Career""),1,0)
"),0.0)</f>
        <v>0</v>
      </c>
    </row>
    <row r="541" ht="22.5" customHeight="1">
      <c r="A541" s="7">
        <v>46040.358766875</v>
      </c>
      <c r="B541" s="8" t="s">
        <v>2276</v>
      </c>
      <c r="C541" s="8" t="s">
        <v>2277</v>
      </c>
      <c r="D541" s="9" t="s">
        <v>2278</v>
      </c>
      <c r="E541" s="8" t="s">
        <v>1939</v>
      </c>
      <c r="F541" s="8" t="s">
        <v>49</v>
      </c>
      <c r="G541" s="8" t="s">
        <v>2279</v>
      </c>
      <c r="H541" s="8" t="s">
        <v>51</v>
      </c>
      <c r="I541" s="8" t="s">
        <v>31</v>
      </c>
      <c r="J541" s="8" t="s">
        <v>24</v>
      </c>
      <c r="K541" s="6" t="str">
        <f t="shared" si="1"/>
        <v>0895614613481</v>
      </c>
      <c r="L541" s="6" t="str">
        <f>IFERROR(
VLOOKUP(
TRIM(
IF(ISNUMBER(FIND(",",E541)),
LEFT(E541,FIND(",",E541)-1),
E541
)
),
master!A:B,
2,
FALSE
),
"Belum ada mapping"
)
</f>
        <v>Jawa Tengah</v>
      </c>
      <c r="M541" s="6">
        <f>IFERROR(__xludf.DUMMYFUNCTION("IF(REGEXMATCH(I541,""Cari Kerja""),1,0)
"),1.0)</f>
        <v>1</v>
      </c>
      <c r="N541" s="6">
        <f>IFERROR(__xludf.DUMMYFUNCTION("IF(REGEXMATCH(I541,""Upskill""),1,0)
"),1.0)</f>
        <v>1</v>
      </c>
      <c r="O541" s="6">
        <f>IFERROR(__xludf.DUMMYFUNCTION("IF(REGEXMATCH(I541,""Networking""),1,0)
"),1.0)</f>
        <v>1</v>
      </c>
      <c r="P541" s="6">
        <f>IFERROR(__xludf.DUMMYFUNCTION("IF(REGEXMATCH(I541,""Switch Career""),1,0)
"),1.0)</f>
        <v>1</v>
      </c>
    </row>
    <row r="542" ht="22.5" customHeight="1">
      <c r="A542" s="3">
        <v>46043.41483171296</v>
      </c>
      <c r="B542" s="5" t="s">
        <v>2276</v>
      </c>
      <c r="C542" s="5" t="s">
        <v>2277</v>
      </c>
      <c r="D542" s="4" t="s">
        <v>2278</v>
      </c>
      <c r="E542" s="5" t="s">
        <v>1939</v>
      </c>
      <c r="F542" s="5" t="s">
        <v>49</v>
      </c>
      <c r="G542" s="5" t="s">
        <v>2280</v>
      </c>
      <c r="H542" s="5" t="s">
        <v>892</v>
      </c>
      <c r="I542" s="5" t="s">
        <v>31</v>
      </c>
      <c r="J542" s="5" t="s">
        <v>24</v>
      </c>
      <c r="K542" s="6" t="str">
        <f t="shared" si="1"/>
        <v>0895614613481</v>
      </c>
      <c r="L542" s="6" t="str">
        <f>IFERROR(
VLOOKUP(
TRIM(
IF(ISNUMBER(FIND(",",E542)),
LEFT(E542,FIND(",",E542)-1),
E542
)
),
master!A:B,
2,
FALSE
),
"Belum ada mapping"
)
</f>
        <v>Jawa Tengah</v>
      </c>
      <c r="M542" s="6">
        <f>IFERROR(__xludf.DUMMYFUNCTION("IF(REGEXMATCH(I542,""Cari Kerja""),1,0)
"),1.0)</f>
        <v>1</v>
      </c>
      <c r="N542" s="6">
        <f>IFERROR(__xludf.DUMMYFUNCTION("IF(REGEXMATCH(I542,""Upskill""),1,0)
"),1.0)</f>
        <v>1</v>
      </c>
      <c r="O542" s="6">
        <f>IFERROR(__xludf.DUMMYFUNCTION("IF(REGEXMATCH(I542,""Networking""),1,0)
"),1.0)</f>
        <v>1</v>
      </c>
      <c r="P542" s="6">
        <f>IFERROR(__xludf.DUMMYFUNCTION("IF(REGEXMATCH(I542,""Switch Career""),1,0)
"),1.0)</f>
        <v>1</v>
      </c>
    </row>
    <row r="543" ht="22.5" customHeight="1">
      <c r="A543" s="3">
        <v>46058.98226726852</v>
      </c>
      <c r="B543" s="5" t="s">
        <v>2281</v>
      </c>
      <c r="C543" s="5" t="s">
        <v>2282</v>
      </c>
      <c r="D543" s="4" t="s">
        <v>2283</v>
      </c>
      <c r="E543" s="5" t="s">
        <v>2284</v>
      </c>
      <c r="F543" s="5" t="s">
        <v>49</v>
      </c>
      <c r="G543" s="5" t="s">
        <v>2285</v>
      </c>
      <c r="H543" s="5" t="s">
        <v>51</v>
      </c>
      <c r="I543" s="5" t="s">
        <v>968</v>
      </c>
      <c r="J543" s="5" t="s">
        <v>24</v>
      </c>
      <c r="K543" s="10" t="str">
        <f t="shared" si="1"/>
        <v>085774582230</v>
      </c>
      <c r="L543" s="10" t="str">
        <f>IFERROR(
VLOOKUP(
TRIM(
IF(ISNUMBER(FIND(",",E543)),
LEFT(E543,FIND(",",E543)-1),
E543
)
),
master!A:B,
2,
FALSE
),
"Belum ada mapping"
)
</f>
        <v>Jakarta</v>
      </c>
      <c r="M543" s="10">
        <f>IFERROR(__xludf.DUMMYFUNCTION("IF(REGEXMATCH(I543,""Cari Kerja""),1,0)
"),1.0)</f>
        <v>1</v>
      </c>
      <c r="N543" s="10">
        <f>IFERROR(__xludf.DUMMYFUNCTION("IF(REGEXMATCH(I543,""Upskill""),1,0)
"),0.0)</f>
        <v>0</v>
      </c>
      <c r="O543" s="10">
        <f>IFERROR(__xludf.DUMMYFUNCTION("IF(REGEXMATCH(I543,""Networking""),1,0)
"),0.0)</f>
        <v>0</v>
      </c>
      <c r="P543" s="10">
        <f>IFERROR(__xludf.DUMMYFUNCTION("IF(REGEXMATCH(I543,""Switch Career""),1,0)
"),1.0)</f>
        <v>1</v>
      </c>
    </row>
    <row r="544" ht="22.5" customHeight="1">
      <c r="A544" s="3">
        <v>46044.30023709491</v>
      </c>
      <c r="B544" s="5" t="s">
        <v>2286</v>
      </c>
      <c r="C544" s="5" t="s">
        <v>2287</v>
      </c>
      <c r="D544" s="4" t="s">
        <v>2288</v>
      </c>
      <c r="E544" s="5" t="s">
        <v>35</v>
      </c>
      <c r="F544" s="5" t="s">
        <v>20</v>
      </c>
      <c r="G544" s="5" t="s">
        <v>2289</v>
      </c>
      <c r="H544" s="5" t="s">
        <v>1456</v>
      </c>
      <c r="I544" s="5" t="s">
        <v>31</v>
      </c>
      <c r="J544" s="5" t="s">
        <v>24</v>
      </c>
      <c r="K544" s="6" t="str">
        <f t="shared" si="1"/>
        <v>081249900242</v>
      </c>
      <c r="L544" s="6" t="str">
        <f>IFERROR(
VLOOKUP(
TRIM(
IF(ISNUMBER(FIND(",",E544)),
LEFT(E544,FIND(",",E544)-1),
E544
)
),
master!A:B,
2,
FALSE
),
"Belum ada mapping"
)
</f>
        <v>Jawa Timur</v>
      </c>
      <c r="M544" s="6">
        <f>IFERROR(__xludf.DUMMYFUNCTION("IF(REGEXMATCH(I544,""Cari Kerja""),1,0)
"),1.0)</f>
        <v>1</v>
      </c>
      <c r="N544" s="6">
        <f>IFERROR(__xludf.DUMMYFUNCTION("IF(REGEXMATCH(I544,""Upskill""),1,0)
"),1.0)</f>
        <v>1</v>
      </c>
      <c r="O544" s="6">
        <f>IFERROR(__xludf.DUMMYFUNCTION("IF(REGEXMATCH(I544,""Networking""),1,0)
"),1.0)</f>
        <v>1</v>
      </c>
      <c r="P544" s="6">
        <f>IFERROR(__xludf.DUMMYFUNCTION("IF(REGEXMATCH(I544,""Switch Career""),1,0)
"),1.0)</f>
        <v>1</v>
      </c>
    </row>
    <row r="545" ht="22.5" customHeight="1">
      <c r="A545" s="3">
        <v>46046.53466748843</v>
      </c>
      <c r="B545" s="5" t="s">
        <v>2286</v>
      </c>
      <c r="C545" s="5" t="s">
        <v>2287</v>
      </c>
      <c r="D545" s="4" t="s">
        <v>2288</v>
      </c>
      <c r="E545" s="5" t="s">
        <v>35</v>
      </c>
      <c r="F545" s="5" t="s">
        <v>20</v>
      </c>
      <c r="G545" s="5" t="s">
        <v>1068</v>
      </c>
      <c r="H545" s="5" t="s">
        <v>37</v>
      </c>
      <c r="I545" s="5" t="s">
        <v>31</v>
      </c>
      <c r="J545" s="5" t="s">
        <v>24</v>
      </c>
      <c r="K545" s="6" t="str">
        <f t="shared" si="1"/>
        <v>081249900242</v>
      </c>
      <c r="L545" s="6" t="str">
        <f>IFERROR(
VLOOKUP(
TRIM(
IF(ISNUMBER(FIND(",",E545)),
LEFT(E545,FIND(",",E545)-1),
E545
)
),
master!A:B,
2,
FALSE
),
"Belum ada mapping"
)
</f>
        <v>Jawa Timur</v>
      </c>
      <c r="M545" s="6">
        <f>IFERROR(__xludf.DUMMYFUNCTION("IF(REGEXMATCH(I545,""Cari Kerja""),1,0)
"),1.0)</f>
        <v>1</v>
      </c>
      <c r="N545" s="6">
        <f>IFERROR(__xludf.DUMMYFUNCTION("IF(REGEXMATCH(I545,""Upskill""),1,0)
"),1.0)</f>
        <v>1</v>
      </c>
      <c r="O545" s="6">
        <f>IFERROR(__xludf.DUMMYFUNCTION("IF(REGEXMATCH(I545,""Networking""),1,0)
"),1.0)</f>
        <v>1</v>
      </c>
      <c r="P545" s="6">
        <f>IFERROR(__xludf.DUMMYFUNCTION("IF(REGEXMATCH(I545,""Switch Career""),1,0)
"),1.0)</f>
        <v>1</v>
      </c>
    </row>
    <row r="546" ht="22.5" customHeight="1">
      <c r="A546" s="3">
        <v>46046.569208472225</v>
      </c>
      <c r="B546" s="5" t="s">
        <v>2290</v>
      </c>
      <c r="C546" s="5" t="s">
        <v>2291</v>
      </c>
      <c r="D546" s="4" t="s">
        <v>2292</v>
      </c>
      <c r="E546" s="5" t="s">
        <v>529</v>
      </c>
      <c r="F546" s="5" t="s">
        <v>49</v>
      </c>
      <c r="G546" s="5" t="s">
        <v>2293</v>
      </c>
      <c r="H546" s="5" t="s">
        <v>93</v>
      </c>
      <c r="I546" s="5" t="s">
        <v>2294</v>
      </c>
      <c r="J546" s="5" t="s">
        <v>24</v>
      </c>
      <c r="K546" s="6" t="str">
        <f t="shared" si="1"/>
        <v>085607180841</v>
      </c>
      <c r="L546" s="6" t="str">
        <f>IFERROR(
VLOOKUP(
TRIM(
IF(ISNUMBER(FIND(",",E546)),
LEFT(E546,FIND(",",E546)-1),
E546
)
),
master!A:B,
2,
FALSE
),
"Belum ada mapping"
)
</f>
        <v>Jawa Timur</v>
      </c>
      <c r="M546" s="6">
        <f>IFERROR(__xludf.DUMMYFUNCTION("IF(REGEXMATCH(I546,""Cari Kerja""),1,0)
"),0.0)</f>
        <v>0</v>
      </c>
      <c r="N546" s="6">
        <f>IFERROR(__xludf.DUMMYFUNCTION("IF(REGEXMATCH(I546,""Upskill""),1,0)
"),0.0)</f>
        <v>0</v>
      </c>
      <c r="O546" s="6">
        <f>IFERROR(__xludf.DUMMYFUNCTION("IF(REGEXMATCH(I546,""Networking""),1,0)
"),1.0)</f>
        <v>1</v>
      </c>
      <c r="P546" s="6">
        <f>IFERROR(__xludf.DUMMYFUNCTION("IF(REGEXMATCH(I546,""Switch Career""),1,0)
"),1.0)</f>
        <v>1</v>
      </c>
    </row>
    <row r="547" ht="22.5" customHeight="1">
      <c r="A547" s="7">
        <v>46040.36103976852</v>
      </c>
      <c r="B547" s="8" t="s">
        <v>2295</v>
      </c>
      <c r="C547" s="8" t="s">
        <v>2296</v>
      </c>
      <c r="D547" s="9" t="s">
        <v>2297</v>
      </c>
      <c r="E547" s="8" t="s">
        <v>92</v>
      </c>
      <c r="F547" s="8" t="s">
        <v>49</v>
      </c>
      <c r="G547" s="8" t="s">
        <v>2298</v>
      </c>
      <c r="H547" s="8" t="s">
        <v>51</v>
      </c>
      <c r="I547" s="8" t="s">
        <v>130</v>
      </c>
      <c r="J547" s="8" t="s">
        <v>24</v>
      </c>
      <c r="K547" s="6" t="str">
        <f t="shared" si="1"/>
        <v>085210401894</v>
      </c>
      <c r="L547" s="6" t="str">
        <f>IFERROR(
VLOOKUP(
TRIM(
IF(ISNUMBER(FIND(",",E547)),
LEFT(E547,FIND(",",E547)-1),
E547
)
),
master!A:B,
2,
FALSE
),
"Belum ada mapping"
)
</f>
        <v>Jawa Barat</v>
      </c>
      <c r="M547" s="6">
        <f>IFERROR(__xludf.DUMMYFUNCTION("IF(REGEXMATCH(I547,""Cari Kerja""),1,0)
"),1.0)</f>
        <v>1</v>
      </c>
      <c r="N547" s="6">
        <f>IFERROR(__xludf.DUMMYFUNCTION("IF(REGEXMATCH(I547,""Upskill""),1,0)
"),1.0)</f>
        <v>1</v>
      </c>
      <c r="O547" s="6">
        <f>IFERROR(__xludf.DUMMYFUNCTION("IF(REGEXMATCH(I547,""Networking""),1,0)
"),0.0)</f>
        <v>0</v>
      </c>
      <c r="P547" s="6">
        <f>IFERROR(__xludf.DUMMYFUNCTION("IF(REGEXMATCH(I547,""Switch Career""),1,0)
"),0.0)</f>
        <v>0</v>
      </c>
    </row>
    <row r="548" ht="22.5" customHeight="1">
      <c r="A548" s="3">
        <v>46042.29459503472</v>
      </c>
      <c r="B548" s="5" t="s">
        <v>2299</v>
      </c>
      <c r="C548" s="5" t="s">
        <v>2300</v>
      </c>
      <c r="D548" s="4" t="s">
        <v>2301</v>
      </c>
      <c r="E548" s="5" t="s">
        <v>939</v>
      </c>
      <c r="F548" s="5" t="s">
        <v>20</v>
      </c>
      <c r="G548" s="5" t="s">
        <v>605</v>
      </c>
      <c r="H548" s="5" t="s">
        <v>51</v>
      </c>
      <c r="I548" s="5" t="s">
        <v>130</v>
      </c>
      <c r="J548" s="5" t="s">
        <v>24</v>
      </c>
      <c r="K548" s="6" t="str">
        <f t="shared" si="1"/>
        <v>081382820016</v>
      </c>
      <c r="L548" s="6" t="str">
        <f>IFERROR(
VLOOKUP(
TRIM(
IF(ISNUMBER(FIND(",",E548)),
LEFT(E548,FIND(",",E548)-1),
E548
)
),
master!A:B,
2,
FALSE
),
"Belum ada mapping"
)
</f>
        <v>Banten</v>
      </c>
      <c r="M548" s="6">
        <f>IFERROR(__xludf.DUMMYFUNCTION("IF(REGEXMATCH(I548,""Cari Kerja""),1,0)
"),1.0)</f>
        <v>1</v>
      </c>
      <c r="N548" s="6">
        <f>IFERROR(__xludf.DUMMYFUNCTION("IF(REGEXMATCH(I548,""Upskill""),1,0)
"),1.0)</f>
        <v>1</v>
      </c>
      <c r="O548" s="6">
        <f>IFERROR(__xludf.DUMMYFUNCTION("IF(REGEXMATCH(I548,""Networking""),1,0)
"),0.0)</f>
        <v>0</v>
      </c>
      <c r="P548" s="6">
        <f>IFERROR(__xludf.DUMMYFUNCTION("IF(REGEXMATCH(I548,""Switch Career""),1,0)
"),0.0)</f>
        <v>0</v>
      </c>
    </row>
    <row r="549" ht="22.5" customHeight="1">
      <c r="A549" s="3">
        <v>46046.36109486111</v>
      </c>
      <c r="B549" s="5" t="s">
        <v>2302</v>
      </c>
      <c r="C549" s="5" t="s">
        <v>2303</v>
      </c>
      <c r="D549" s="4" t="s">
        <v>2304</v>
      </c>
      <c r="E549" s="5" t="s">
        <v>1206</v>
      </c>
      <c r="F549" s="5" t="s">
        <v>20</v>
      </c>
      <c r="G549" s="5" t="s">
        <v>69</v>
      </c>
      <c r="H549" s="5" t="s">
        <v>51</v>
      </c>
      <c r="I549" s="5" t="s">
        <v>31</v>
      </c>
      <c r="J549" s="5" t="s">
        <v>24</v>
      </c>
      <c r="K549" s="6" t="str">
        <f t="shared" si="1"/>
        <v>082153963677</v>
      </c>
      <c r="L549" s="6" t="str">
        <f>IFERROR(
VLOOKUP(
TRIM(
IF(ISNUMBER(FIND(",",E549)),
LEFT(E549,FIND(",",E549)-1),
E549
)
),
master!A:B,
2,
FALSE
),
"Belum ada mapping"
)
</f>
        <v>Kalimantan Barat</v>
      </c>
      <c r="M549" s="6">
        <f>IFERROR(__xludf.DUMMYFUNCTION("IF(REGEXMATCH(I549,""Cari Kerja""),1,0)
"),1.0)</f>
        <v>1</v>
      </c>
      <c r="N549" s="6">
        <f>IFERROR(__xludf.DUMMYFUNCTION("IF(REGEXMATCH(I549,""Upskill""),1,0)
"),1.0)</f>
        <v>1</v>
      </c>
      <c r="O549" s="6">
        <f>IFERROR(__xludf.DUMMYFUNCTION("IF(REGEXMATCH(I549,""Networking""),1,0)
"),1.0)</f>
        <v>1</v>
      </c>
      <c r="P549" s="6">
        <f>IFERROR(__xludf.DUMMYFUNCTION("IF(REGEXMATCH(I549,""Switch Career""),1,0)
"),1.0)</f>
        <v>1</v>
      </c>
    </row>
    <row r="550" ht="22.5" customHeight="1">
      <c r="A550" s="3">
        <v>46051.40398239583</v>
      </c>
      <c r="B550" s="5" t="s">
        <v>2305</v>
      </c>
      <c r="C550" s="5" t="s">
        <v>2306</v>
      </c>
      <c r="D550" s="4" t="s">
        <v>2307</v>
      </c>
      <c r="E550" s="5" t="s">
        <v>492</v>
      </c>
      <c r="F550" s="5" t="s">
        <v>20</v>
      </c>
      <c r="G550" s="5" t="s">
        <v>69</v>
      </c>
      <c r="H550" s="5" t="s">
        <v>82</v>
      </c>
      <c r="I550" s="5" t="s">
        <v>130</v>
      </c>
      <c r="J550" s="5" t="s">
        <v>24</v>
      </c>
      <c r="K550" s="10" t="str">
        <f t="shared" si="1"/>
        <v>082183899608</v>
      </c>
      <c r="L550" s="10" t="str">
        <f>IFERROR(
VLOOKUP(
TRIM(
IF(ISNUMBER(FIND(",",E550)),
LEFT(E550,FIND(",",E550)-1),
E550
)
),
master!A:B,
2,
FALSE
),
"Belum ada mapping"
)
</f>
        <v>Bengkulu</v>
      </c>
      <c r="M550" s="6">
        <f>IFERROR(__xludf.DUMMYFUNCTION("IF(REGEXMATCH(I550,""Cari Kerja""),1,0)
"),1.0)</f>
        <v>1</v>
      </c>
      <c r="N550" s="6">
        <f>IFERROR(__xludf.DUMMYFUNCTION("IF(REGEXMATCH(I550,""Upskill""),1,0)
"),1.0)</f>
        <v>1</v>
      </c>
      <c r="O550" s="6">
        <f>IFERROR(__xludf.DUMMYFUNCTION("IF(REGEXMATCH(I550,""Networking""),1,0)
"),0.0)</f>
        <v>0</v>
      </c>
      <c r="P550" s="6">
        <f>IFERROR(__xludf.DUMMYFUNCTION("IF(REGEXMATCH(I550,""Switch Career""),1,0)
"),0.0)</f>
        <v>0</v>
      </c>
    </row>
    <row r="551" ht="22.5" customHeight="1">
      <c r="A551" s="7">
        <v>46040.41667528935</v>
      </c>
      <c r="B551" s="8" t="s">
        <v>2308</v>
      </c>
      <c r="C551" s="8" t="s">
        <v>2309</v>
      </c>
      <c r="D551" s="9" t="s">
        <v>2310</v>
      </c>
      <c r="E551" s="8" t="s">
        <v>2311</v>
      </c>
      <c r="F551" s="8" t="s">
        <v>20</v>
      </c>
      <c r="G551" s="8" t="s">
        <v>2312</v>
      </c>
      <c r="H551" s="8" t="s">
        <v>30</v>
      </c>
      <c r="I551" s="8" t="s">
        <v>130</v>
      </c>
      <c r="J551" s="8" t="s">
        <v>24</v>
      </c>
      <c r="K551" s="6" t="str">
        <f t="shared" si="1"/>
        <v>081998263823</v>
      </c>
      <c r="L551" s="6" t="str">
        <f>IFERROR(
VLOOKUP(
TRIM(
IF(ISNUMBER(FIND(",",E551)),
LEFT(E551,FIND(",",E551)-1),
E551
)
),
master!A:B,
2,
FALSE
),
"Belum ada mapping"
)
</f>
        <v>Jawa Tengah</v>
      </c>
      <c r="M551" s="6">
        <f>IFERROR(__xludf.DUMMYFUNCTION("IF(REGEXMATCH(I551,""Cari Kerja""),1,0)
"),1.0)</f>
        <v>1</v>
      </c>
      <c r="N551" s="6">
        <f>IFERROR(__xludf.DUMMYFUNCTION("IF(REGEXMATCH(I551,""Upskill""),1,0)
"),1.0)</f>
        <v>1</v>
      </c>
      <c r="O551" s="6">
        <f>IFERROR(__xludf.DUMMYFUNCTION("IF(REGEXMATCH(I551,""Networking""),1,0)
"),0.0)</f>
        <v>0</v>
      </c>
      <c r="P551" s="6">
        <f>IFERROR(__xludf.DUMMYFUNCTION("IF(REGEXMATCH(I551,""Switch Career""),1,0)
"),0.0)</f>
        <v>0</v>
      </c>
    </row>
    <row r="552" ht="22.5" customHeight="1">
      <c r="A552" s="3">
        <v>46043.32829631944</v>
      </c>
      <c r="B552" s="5" t="s">
        <v>2313</v>
      </c>
      <c r="C552" s="5" t="s">
        <v>2314</v>
      </c>
      <c r="D552" s="4" t="s">
        <v>2315</v>
      </c>
      <c r="E552" s="5" t="s">
        <v>42</v>
      </c>
      <c r="F552" s="5" t="s">
        <v>49</v>
      </c>
      <c r="G552" s="5" t="s">
        <v>2316</v>
      </c>
      <c r="H552" s="5" t="s">
        <v>82</v>
      </c>
      <c r="I552" s="5" t="s">
        <v>52</v>
      </c>
      <c r="J552" s="5" t="s">
        <v>38</v>
      </c>
      <c r="K552" s="6" t="str">
        <f t="shared" si="1"/>
        <v>085179562061</v>
      </c>
      <c r="L552" s="6" t="str">
        <f>IFERROR(
VLOOKUP(
TRIM(
IF(ISNUMBER(FIND(",",E552)),
LEFT(E552,FIND(",",E552)-1),
E552
)
),
master!A:B,
2,
FALSE
),
"Belum ada mapping"
)
</f>
        <v>Jawa Barat</v>
      </c>
      <c r="M552" s="6">
        <f>IFERROR(__xludf.DUMMYFUNCTION("IF(REGEXMATCH(I552,""Cari Kerja""),1,0)
"),0.0)</f>
        <v>0</v>
      </c>
      <c r="N552" s="6">
        <f>IFERROR(__xludf.DUMMYFUNCTION("IF(REGEXMATCH(I552,""Upskill""),1,0)
"),1.0)</f>
        <v>1</v>
      </c>
      <c r="O552" s="6">
        <f>IFERROR(__xludf.DUMMYFUNCTION("IF(REGEXMATCH(I552,""Networking""),1,0)
"),1.0)</f>
        <v>1</v>
      </c>
      <c r="P552" s="6">
        <f>IFERROR(__xludf.DUMMYFUNCTION("IF(REGEXMATCH(I552,""Switch Career""),1,0)
"),1.0)</f>
        <v>1</v>
      </c>
    </row>
    <row r="553" ht="22.5" customHeight="1">
      <c r="A553" s="3">
        <v>46135.05362314815</v>
      </c>
      <c r="B553" s="5" t="s">
        <v>2317</v>
      </c>
      <c r="C553" s="5" t="s">
        <v>2318</v>
      </c>
      <c r="D553" s="4" t="s">
        <v>2319</v>
      </c>
      <c r="E553" s="5" t="s">
        <v>1842</v>
      </c>
      <c r="F553" s="5" t="s">
        <v>49</v>
      </c>
      <c r="G553" s="5" t="s">
        <v>2320</v>
      </c>
      <c r="H553" s="5" t="s">
        <v>1082</v>
      </c>
      <c r="I553" s="5" t="s">
        <v>13</v>
      </c>
      <c r="J553" s="5" t="s">
        <v>38</v>
      </c>
      <c r="K553" s="10" t="str">
        <f t="shared" si="1"/>
        <v>085313840037</v>
      </c>
      <c r="L553" s="10" t="str">
        <f>IFERROR(
VLOOKUP(
TRIM(
IF(ISNUMBER(FIND(",",E553)),
LEFT(E553,FIND(",",E553)-1),
E553
)
),
master!A:B,
2,
FALSE
),
"Belum ada mapping"
)
</f>
        <v>Riau</v>
      </c>
      <c r="M553" s="10">
        <f>IFERROR(__xludf.DUMMYFUNCTION("IF(REGEXMATCH(I553,""Cari Kerja""),1,0)
"),0.0)</f>
        <v>0</v>
      </c>
      <c r="N553" s="10">
        <f>IFERROR(__xludf.DUMMYFUNCTION("IF(REGEXMATCH(I553,""Upskill""),1,0)
"),1.0)</f>
        <v>1</v>
      </c>
      <c r="O553" s="10">
        <f>IFERROR(__xludf.DUMMYFUNCTION("IF(REGEXMATCH(I553,""Networking""),1,0)
"),0.0)</f>
        <v>0</v>
      </c>
      <c r="P553" s="10">
        <f>IFERROR(__xludf.DUMMYFUNCTION("IF(REGEXMATCH(I553,""Switch Career""),1,0)
"),0.0)</f>
        <v>0</v>
      </c>
    </row>
    <row r="554" ht="22.5" customHeight="1">
      <c r="A554" s="3">
        <v>46045.74085100694</v>
      </c>
      <c r="B554" s="5" t="s">
        <v>2321</v>
      </c>
      <c r="C554" s="5" t="s">
        <v>2322</v>
      </c>
      <c r="D554" s="4" t="s">
        <v>2323</v>
      </c>
      <c r="E554" s="5" t="s">
        <v>92</v>
      </c>
      <c r="F554" s="5" t="s">
        <v>20</v>
      </c>
      <c r="G554" s="5" t="s">
        <v>21</v>
      </c>
      <c r="H554" s="5" t="s">
        <v>51</v>
      </c>
      <c r="I554" s="5" t="s">
        <v>23</v>
      </c>
      <c r="J554" s="5" t="s">
        <v>24</v>
      </c>
      <c r="K554" s="6" t="str">
        <f t="shared" si="1"/>
        <v>08989625375</v>
      </c>
      <c r="L554" s="6" t="str">
        <f>IFERROR(
VLOOKUP(
TRIM(
IF(ISNUMBER(FIND(",",E554)),
LEFT(E554,FIND(",",E554)-1),
E554
)
),
master!A:B,
2,
FALSE
),
"Belum ada mapping"
)
</f>
        <v>Jawa Barat</v>
      </c>
      <c r="M554" s="6">
        <f>IFERROR(__xludf.DUMMYFUNCTION("IF(REGEXMATCH(I554,""Cari Kerja""),1,0)
"),1.0)</f>
        <v>1</v>
      </c>
      <c r="N554" s="6">
        <f>IFERROR(__xludf.DUMMYFUNCTION("IF(REGEXMATCH(I554,""Upskill""),1,0)
"),1.0)</f>
        <v>1</v>
      </c>
      <c r="O554" s="6">
        <f>IFERROR(__xludf.DUMMYFUNCTION("IF(REGEXMATCH(I554,""Networking""),1,0)
"),1.0)</f>
        <v>1</v>
      </c>
      <c r="P554" s="6">
        <f>IFERROR(__xludf.DUMMYFUNCTION("IF(REGEXMATCH(I554,""Switch Career""),1,0)
"),0.0)</f>
        <v>0</v>
      </c>
    </row>
    <row r="555" ht="22.5" customHeight="1">
      <c r="A555" s="3">
        <v>46049.26649708333</v>
      </c>
      <c r="B555" s="5" t="s">
        <v>2324</v>
      </c>
      <c r="C555" s="5" t="s">
        <v>2325</v>
      </c>
      <c r="D555" s="4" t="s">
        <v>2326</v>
      </c>
      <c r="E555" s="5" t="s">
        <v>2327</v>
      </c>
      <c r="F555" s="5" t="s">
        <v>20</v>
      </c>
      <c r="G555" s="5" t="s">
        <v>69</v>
      </c>
      <c r="H555" s="5" t="s">
        <v>51</v>
      </c>
      <c r="I555" s="5" t="s">
        <v>23</v>
      </c>
      <c r="J555" s="5" t="s">
        <v>24</v>
      </c>
      <c r="K555" s="6" t="str">
        <f t="shared" si="1"/>
        <v>082363879850</v>
      </c>
      <c r="L555" s="6" t="str">
        <f>IFERROR(
VLOOKUP(
TRIM(
IF(ISNUMBER(FIND(",",E555)),
LEFT(E555,FIND(",",E555)-1),
E555
)
),
master!A:B,
2,
FALSE
),
"Belum ada mapping"
)
</f>
        <v>Sumatera Utara</v>
      </c>
      <c r="M555" s="6">
        <f>IFERROR(__xludf.DUMMYFUNCTION("IF(REGEXMATCH(I555,""Cari Kerja""),1,0)
"),1.0)</f>
        <v>1</v>
      </c>
      <c r="N555" s="6">
        <f>IFERROR(__xludf.DUMMYFUNCTION("IF(REGEXMATCH(I555,""Upskill""),1,0)
"),1.0)</f>
        <v>1</v>
      </c>
      <c r="O555" s="6">
        <f>IFERROR(__xludf.DUMMYFUNCTION("IF(REGEXMATCH(I555,""Networking""),1,0)
"),1.0)</f>
        <v>1</v>
      </c>
      <c r="P555" s="6">
        <f>IFERROR(__xludf.DUMMYFUNCTION("IF(REGEXMATCH(I555,""Switch Career""),1,0)
"),0.0)</f>
        <v>0</v>
      </c>
    </row>
    <row r="556" ht="22.5" customHeight="1">
      <c r="A556" s="7">
        <v>46040.36018753472</v>
      </c>
      <c r="B556" s="8" t="s">
        <v>2328</v>
      </c>
      <c r="C556" s="8" t="s">
        <v>2329</v>
      </c>
      <c r="D556" s="9" t="s">
        <v>2330</v>
      </c>
      <c r="E556" s="8" t="s">
        <v>207</v>
      </c>
      <c r="F556" s="8" t="s">
        <v>49</v>
      </c>
      <c r="G556" s="8" t="s">
        <v>2331</v>
      </c>
      <c r="H556" s="8" t="s">
        <v>87</v>
      </c>
      <c r="I556" s="8" t="s">
        <v>31</v>
      </c>
      <c r="J556" s="8" t="s">
        <v>24</v>
      </c>
      <c r="K556" s="6" t="str">
        <f t="shared" si="1"/>
        <v>083130066682</v>
      </c>
      <c r="L556" s="6" t="str">
        <f>IFERROR(
VLOOKUP(
TRIM(
IF(ISNUMBER(FIND(",",E556)),
LEFT(E556,FIND(",",E556)-1),
E556
)
),
master!A:B,
2,
FALSE
),
"Belum ada mapping"
)
</f>
        <v>Jakarta</v>
      </c>
      <c r="M556" s="6">
        <f>IFERROR(__xludf.DUMMYFUNCTION("IF(REGEXMATCH(I556,""Cari Kerja""),1,0)
"),1.0)</f>
        <v>1</v>
      </c>
      <c r="N556" s="6">
        <f>IFERROR(__xludf.DUMMYFUNCTION("IF(REGEXMATCH(I556,""Upskill""),1,0)
"),1.0)</f>
        <v>1</v>
      </c>
      <c r="O556" s="6">
        <f>IFERROR(__xludf.DUMMYFUNCTION("IF(REGEXMATCH(I556,""Networking""),1,0)
"),1.0)</f>
        <v>1</v>
      </c>
      <c r="P556" s="6">
        <f>IFERROR(__xludf.DUMMYFUNCTION("IF(REGEXMATCH(I556,""Switch Career""),1,0)
"),1.0)</f>
        <v>1</v>
      </c>
    </row>
    <row r="557" ht="22.5" customHeight="1">
      <c r="A557" s="3">
        <v>46046.25819059028</v>
      </c>
      <c r="B557" s="5" t="s">
        <v>2332</v>
      </c>
      <c r="C557" s="5" t="s">
        <v>2333</v>
      </c>
      <c r="D557" s="4" t="s">
        <v>2334</v>
      </c>
      <c r="E557" s="5" t="s">
        <v>42</v>
      </c>
      <c r="F557" s="5" t="s">
        <v>20</v>
      </c>
      <c r="G557" s="5" t="s">
        <v>2335</v>
      </c>
      <c r="H557" s="5" t="s">
        <v>51</v>
      </c>
      <c r="I557" s="5" t="s">
        <v>31</v>
      </c>
      <c r="J557" s="5" t="s">
        <v>24</v>
      </c>
      <c r="K557" s="6" t="str">
        <f t="shared" si="1"/>
        <v>085122943507</v>
      </c>
      <c r="L557" s="6" t="str">
        <f>IFERROR(
VLOOKUP(
TRIM(
IF(ISNUMBER(FIND(",",E557)),
LEFT(E557,FIND(",",E557)-1),
E557
)
),
master!A:B,
2,
FALSE
),
"Belum ada mapping"
)
</f>
        <v>Jawa Barat</v>
      </c>
      <c r="M557" s="6">
        <f>IFERROR(__xludf.DUMMYFUNCTION("IF(REGEXMATCH(I557,""Cari Kerja""),1,0)
"),1.0)</f>
        <v>1</v>
      </c>
      <c r="N557" s="6">
        <f>IFERROR(__xludf.DUMMYFUNCTION("IF(REGEXMATCH(I557,""Upskill""),1,0)
"),1.0)</f>
        <v>1</v>
      </c>
      <c r="O557" s="6">
        <f>IFERROR(__xludf.DUMMYFUNCTION("IF(REGEXMATCH(I557,""Networking""),1,0)
"),1.0)</f>
        <v>1</v>
      </c>
      <c r="P557" s="6">
        <f>IFERROR(__xludf.DUMMYFUNCTION("IF(REGEXMATCH(I557,""Switch Career""),1,0)
"),1.0)</f>
        <v>1</v>
      </c>
    </row>
    <row r="558" ht="22.5" customHeight="1">
      <c r="A558" s="3">
        <v>46043.72800803241</v>
      </c>
      <c r="B558" s="5" t="s">
        <v>2336</v>
      </c>
      <c r="C558" s="5" t="s">
        <v>2337</v>
      </c>
      <c r="D558" s="4" t="s">
        <v>2338</v>
      </c>
      <c r="E558" s="5" t="s">
        <v>207</v>
      </c>
      <c r="F558" s="5" t="s">
        <v>20</v>
      </c>
      <c r="G558" s="5" t="s">
        <v>2339</v>
      </c>
      <c r="H558" s="5" t="s">
        <v>51</v>
      </c>
      <c r="I558" s="5" t="s">
        <v>31</v>
      </c>
      <c r="J558" s="5" t="s">
        <v>38</v>
      </c>
      <c r="K558" s="6" t="str">
        <f t="shared" si="1"/>
        <v>087857121700</v>
      </c>
      <c r="L558" s="6" t="str">
        <f>IFERROR(
VLOOKUP(
TRIM(
IF(ISNUMBER(FIND(",",E558)),
LEFT(E558,FIND(",",E558)-1),
E558
)
),
master!A:B,
2,
FALSE
),
"Belum ada mapping"
)
</f>
        <v>Jakarta</v>
      </c>
      <c r="M558" s="6">
        <f>IFERROR(__xludf.DUMMYFUNCTION("IF(REGEXMATCH(I558,""Cari Kerja""),1,0)
"),1.0)</f>
        <v>1</v>
      </c>
      <c r="N558" s="6">
        <f>IFERROR(__xludf.DUMMYFUNCTION("IF(REGEXMATCH(I558,""Upskill""),1,0)
"),1.0)</f>
        <v>1</v>
      </c>
      <c r="O558" s="6">
        <f>IFERROR(__xludf.DUMMYFUNCTION("IF(REGEXMATCH(I558,""Networking""),1,0)
"),1.0)</f>
        <v>1</v>
      </c>
      <c r="P558" s="6">
        <f>IFERROR(__xludf.DUMMYFUNCTION("IF(REGEXMATCH(I558,""Switch Career""),1,0)
"),1.0)</f>
        <v>1</v>
      </c>
    </row>
    <row r="559" ht="22.5" customHeight="1">
      <c r="A559" s="7">
        <v>46040.416464270835</v>
      </c>
      <c r="B559" s="8" t="s">
        <v>2340</v>
      </c>
      <c r="C559" s="8" t="s">
        <v>2341</v>
      </c>
      <c r="D559" s="9" t="s">
        <v>2342</v>
      </c>
      <c r="E559" s="8" t="s">
        <v>2343</v>
      </c>
      <c r="F559" s="8" t="s">
        <v>20</v>
      </c>
      <c r="G559" s="8" t="s">
        <v>2344</v>
      </c>
      <c r="H559" s="8" t="s">
        <v>51</v>
      </c>
      <c r="I559" s="8" t="s">
        <v>23</v>
      </c>
      <c r="J559" s="8" t="s">
        <v>24</v>
      </c>
      <c r="K559" s="6" t="str">
        <f t="shared" si="1"/>
        <v>081250436901</v>
      </c>
      <c r="L559" s="6" t="str">
        <f>IFERROR(
VLOOKUP(
TRIM(
IF(ISNUMBER(FIND(",",E559)),
LEFT(E559,FIND(",",E559)-1),
E559
)
),
master!A:B,
2,
FALSE
),
"Belum ada mapping"
)
</f>
        <v>Kalimantan Tengah </v>
      </c>
      <c r="M559" s="6">
        <f>IFERROR(__xludf.DUMMYFUNCTION("IF(REGEXMATCH(I559,""Cari Kerja""),1,0)
"),1.0)</f>
        <v>1</v>
      </c>
      <c r="N559" s="6">
        <f>IFERROR(__xludf.DUMMYFUNCTION("IF(REGEXMATCH(I559,""Upskill""),1,0)
"),1.0)</f>
        <v>1</v>
      </c>
      <c r="O559" s="6">
        <f>IFERROR(__xludf.DUMMYFUNCTION("IF(REGEXMATCH(I559,""Networking""),1,0)
"),1.0)</f>
        <v>1</v>
      </c>
      <c r="P559" s="6">
        <f>IFERROR(__xludf.DUMMYFUNCTION("IF(REGEXMATCH(I559,""Switch Career""),1,0)
"),0.0)</f>
        <v>0</v>
      </c>
    </row>
    <row r="560" ht="22.5" customHeight="1">
      <c r="A560" s="3">
        <v>46121.62756956018</v>
      </c>
      <c r="B560" s="5" t="s">
        <v>2345</v>
      </c>
      <c r="C560" s="5" t="s">
        <v>2346</v>
      </c>
      <c r="D560" s="5" t="s">
        <v>2347</v>
      </c>
      <c r="E560" s="5" t="s">
        <v>2348</v>
      </c>
      <c r="F560" s="5" t="s">
        <v>49</v>
      </c>
      <c r="G560" s="5" t="s">
        <v>149</v>
      </c>
      <c r="H560" s="5" t="s">
        <v>278</v>
      </c>
      <c r="I560" s="5" t="s">
        <v>23</v>
      </c>
      <c r="J560" s="5" t="s">
        <v>24</v>
      </c>
      <c r="K560" s="10" t="str">
        <f t="shared" si="1"/>
        <v>+62 851-1160-2500</v>
      </c>
      <c r="L560" s="10" t="str">
        <f>IFERROR(
VLOOKUP(
TRIM(
IF(ISNUMBER(FIND(",",E560)),
LEFT(E560,FIND(",",E560)-1),
E560
)
),
master!A:B,
2,
FALSE
),
"Belum ada mapping"
)
</f>
        <v>Jawa Timur</v>
      </c>
      <c r="M560" s="10">
        <f>IFERROR(__xludf.DUMMYFUNCTION("IF(REGEXMATCH(I560,""Cari Kerja""),1,0)
"),1.0)</f>
        <v>1</v>
      </c>
      <c r="N560" s="10">
        <f>IFERROR(__xludf.DUMMYFUNCTION("IF(REGEXMATCH(I560,""Upskill""),1,0)
"),1.0)</f>
        <v>1</v>
      </c>
      <c r="O560" s="10">
        <f>IFERROR(__xludf.DUMMYFUNCTION("IF(REGEXMATCH(I560,""Networking""),1,0)
"),1.0)</f>
        <v>1</v>
      </c>
      <c r="P560" s="10">
        <f>IFERROR(__xludf.DUMMYFUNCTION("IF(REGEXMATCH(I560,""Switch Career""),1,0)
"),0.0)</f>
        <v>0</v>
      </c>
    </row>
    <row r="561" ht="22.5" customHeight="1">
      <c r="A561" s="3">
        <v>46043.459303553245</v>
      </c>
      <c r="B561" s="5" t="s">
        <v>2349</v>
      </c>
      <c r="C561" s="5" t="s">
        <v>2350</v>
      </c>
      <c r="D561" s="4" t="s">
        <v>2351</v>
      </c>
      <c r="E561" s="5" t="s">
        <v>134</v>
      </c>
      <c r="F561" s="5" t="s">
        <v>20</v>
      </c>
      <c r="G561" s="5" t="s">
        <v>2352</v>
      </c>
      <c r="H561" s="5" t="s">
        <v>51</v>
      </c>
      <c r="I561" s="5" t="s">
        <v>52</v>
      </c>
      <c r="J561" s="5" t="s">
        <v>38</v>
      </c>
      <c r="K561" s="6" t="str">
        <f t="shared" si="1"/>
        <v>08385522463</v>
      </c>
      <c r="L561" s="6" t="str">
        <f>IFERROR(
VLOOKUP(
TRIM(
IF(ISNUMBER(FIND(",",E561)),
LEFT(E561,FIND(",",E561)-1),
E561
)
),
master!A:B,
2,
FALSE
),
"Belum ada mapping"
)
</f>
        <v>Jawa Barat</v>
      </c>
      <c r="M561" s="6">
        <f>IFERROR(__xludf.DUMMYFUNCTION("IF(REGEXMATCH(I561,""Cari Kerja""),1,0)
"),0.0)</f>
        <v>0</v>
      </c>
      <c r="N561" s="6">
        <f>IFERROR(__xludf.DUMMYFUNCTION("IF(REGEXMATCH(I561,""Upskill""),1,0)
"),1.0)</f>
        <v>1</v>
      </c>
      <c r="O561" s="6">
        <f>IFERROR(__xludf.DUMMYFUNCTION("IF(REGEXMATCH(I561,""Networking""),1,0)
"),1.0)</f>
        <v>1</v>
      </c>
      <c r="P561" s="6">
        <f>IFERROR(__xludf.DUMMYFUNCTION("IF(REGEXMATCH(I561,""Switch Career""),1,0)
"),1.0)</f>
        <v>1</v>
      </c>
    </row>
    <row r="562" ht="22.5" customHeight="1">
      <c r="A562" s="3">
        <v>46042.39945684028</v>
      </c>
      <c r="B562" s="5" t="s">
        <v>2353</v>
      </c>
      <c r="C562" s="5" t="s">
        <v>2354</v>
      </c>
      <c r="D562" s="5" t="s">
        <v>2355</v>
      </c>
      <c r="E562" s="5" t="s">
        <v>596</v>
      </c>
      <c r="F562" s="5" t="s">
        <v>49</v>
      </c>
      <c r="G562" s="5" t="s">
        <v>2356</v>
      </c>
      <c r="H562" s="5" t="s">
        <v>58</v>
      </c>
      <c r="I562" s="5" t="s">
        <v>59</v>
      </c>
      <c r="J562" s="5" t="s">
        <v>24</v>
      </c>
      <c r="K562" s="6" t="str">
        <f t="shared" si="1"/>
        <v>082354633633 / 08114433633</v>
      </c>
      <c r="L562" s="6" t="str">
        <f>IFERROR(
VLOOKUP(
TRIM(
IF(ISNUMBER(FIND(",",E562)),
LEFT(E562,FIND(",",E562)-1),
E562
)
),
master!A:B,
2,
FALSE
),
"Belum ada mapping"
)
</f>
        <v>Jawa Timur</v>
      </c>
      <c r="M562" s="6">
        <f>IFERROR(__xludf.DUMMYFUNCTION("IF(REGEXMATCH(I562,""Cari Kerja""),1,0)
"),0.0)</f>
        <v>0</v>
      </c>
      <c r="N562" s="6">
        <f>IFERROR(__xludf.DUMMYFUNCTION("IF(REGEXMATCH(I562,""Upskill""),1,0)
"),1.0)</f>
        <v>1</v>
      </c>
      <c r="O562" s="6">
        <f>IFERROR(__xludf.DUMMYFUNCTION("IF(REGEXMATCH(I562,""Networking""),1,0)
"),1.0)</f>
        <v>1</v>
      </c>
      <c r="P562" s="6">
        <f>IFERROR(__xludf.DUMMYFUNCTION("IF(REGEXMATCH(I562,""Switch Career""),1,0)
"),0.0)</f>
        <v>0</v>
      </c>
    </row>
    <row r="563" ht="22.5" customHeight="1">
      <c r="A563" s="3">
        <v>46064.40036625</v>
      </c>
      <c r="B563" s="5" t="s">
        <v>2353</v>
      </c>
      <c r="C563" s="5" t="s">
        <v>2357</v>
      </c>
      <c r="D563" s="4" t="s">
        <v>2358</v>
      </c>
      <c r="E563" s="5" t="s">
        <v>1808</v>
      </c>
      <c r="F563" s="5" t="s">
        <v>49</v>
      </c>
      <c r="G563" s="5" t="s">
        <v>2359</v>
      </c>
      <c r="H563" s="5" t="s">
        <v>1407</v>
      </c>
      <c r="I563" s="5" t="s">
        <v>235</v>
      </c>
      <c r="J563" s="5" t="s">
        <v>24</v>
      </c>
      <c r="K563" s="10" t="str">
        <f t="shared" si="1"/>
        <v>08114433633</v>
      </c>
      <c r="L563" s="10" t="str">
        <f>IFERROR(
VLOOKUP(
TRIM(
IF(ISNUMBER(FIND(",",E563)),
LEFT(E563,FIND(",",E563)-1),
E563
)
),
master!A:B,
2,
FALSE
),
"Belum ada mapping"
)
</f>
        <v>Kalimantan Selatan</v>
      </c>
      <c r="M563" s="10">
        <f>IFERROR(__xludf.DUMMYFUNCTION("IF(REGEXMATCH(I563,""Cari Kerja""),1,0)
"),1.0)</f>
        <v>1</v>
      </c>
      <c r="N563" s="10">
        <f>IFERROR(__xludf.DUMMYFUNCTION("IF(REGEXMATCH(I563,""Upskill""),1,0)
"),1.0)</f>
        <v>1</v>
      </c>
      <c r="O563" s="10">
        <f>IFERROR(__xludf.DUMMYFUNCTION("IF(REGEXMATCH(I563,""Networking""),1,0)
"),0.0)</f>
        <v>0</v>
      </c>
      <c r="P563" s="10">
        <f>IFERROR(__xludf.DUMMYFUNCTION("IF(REGEXMATCH(I563,""Switch Career""),1,0)
"),1.0)</f>
        <v>1</v>
      </c>
    </row>
    <row r="564" ht="22.5" customHeight="1">
      <c r="A564" s="3">
        <v>46042.588997557876</v>
      </c>
      <c r="B564" s="5" t="s">
        <v>2360</v>
      </c>
      <c r="C564" s="5" t="s">
        <v>2361</v>
      </c>
      <c r="D564" s="4" t="s">
        <v>2362</v>
      </c>
      <c r="E564" s="5" t="s">
        <v>457</v>
      </c>
      <c r="F564" s="5" t="s">
        <v>20</v>
      </c>
      <c r="G564" s="5" t="s">
        <v>21</v>
      </c>
      <c r="H564" s="5" t="s">
        <v>577</v>
      </c>
      <c r="I564" s="5" t="s">
        <v>23</v>
      </c>
      <c r="J564" s="5" t="s">
        <v>24</v>
      </c>
      <c r="K564" s="6" t="str">
        <f t="shared" si="1"/>
        <v>085776489536</v>
      </c>
      <c r="L564" s="6" t="str">
        <f>IFERROR(
VLOOKUP(
TRIM(
IF(ISNUMBER(FIND(",",E564)),
LEFT(E564,FIND(",",E564)-1),
E564
)
),
master!A:B,
2,
FALSE
),
"Belum ada mapping"
)
</f>
        <v>Lampung</v>
      </c>
      <c r="M564" s="6">
        <f>IFERROR(__xludf.DUMMYFUNCTION("IF(REGEXMATCH(I564,""Cari Kerja""),1,0)
"),1.0)</f>
        <v>1</v>
      </c>
      <c r="N564" s="6">
        <f>IFERROR(__xludf.DUMMYFUNCTION("IF(REGEXMATCH(I564,""Upskill""),1,0)
"),1.0)</f>
        <v>1</v>
      </c>
      <c r="O564" s="6">
        <f>IFERROR(__xludf.DUMMYFUNCTION("IF(REGEXMATCH(I564,""Networking""),1,0)
"),1.0)</f>
        <v>1</v>
      </c>
      <c r="P564" s="6">
        <f>IFERROR(__xludf.DUMMYFUNCTION("IF(REGEXMATCH(I564,""Switch Career""),1,0)
"),0.0)</f>
        <v>0</v>
      </c>
    </row>
    <row r="565" ht="22.5" customHeight="1">
      <c r="A565" s="3">
        <v>46046.70526609954</v>
      </c>
      <c r="B565" s="5" t="s">
        <v>2363</v>
      </c>
      <c r="C565" s="5" t="s">
        <v>2364</v>
      </c>
      <c r="D565" s="4" t="s">
        <v>2365</v>
      </c>
      <c r="E565" s="5" t="s">
        <v>1701</v>
      </c>
      <c r="F565" s="5" t="s">
        <v>20</v>
      </c>
      <c r="G565" s="5" t="s">
        <v>1745</v>
      </c>
      <c r="H565" s="5" t="s">
        <v>187</v>
      </c>
      <c r="I565" s="5" t="s">
        <v>52</v>
      </c>
      <c r="J565" s="5" t="s">
        <v>24</v>
      </c>
      <c r="K565" s="6" t="str">
        <f t="shared" si="1"/>
        <v>085731105550</v>
      </c>
      <c r="L565" s="6" t="str">
        <f>IFERROR(
VLOOKUP(
TRIM(
IF(ISNUMBER(FIND(",",E565)),
LEFT(E565,FIND(",",E565)-1),
E565
)
),
master!A:B,
2,
FALSE
),
"Belum ada mapping"
)
</f>
        <v>Jawa Tengah</v>
      </c>
      <c r="M565" s="6">
        <f>IFERROR(__xludf.DUMMYFUNCTION("IF(REGEXMATCH(I565,""Cari Kerja""),1,0)
"),0.0)</f>
        <v>0</v>
      </c>
      <c r="N565" s="6">
        <f>IFERROR(__xludf.DUMMYFUNCTION("IF(REGEXMATCH(I565,""Upskill""),1,0)
"),1.0)</f>
        <v>1</v>
      </c>
      <c r="O565" s="6">
        <f>IFERROR(__xludf.DUMMYFUNCTION("IF(REGEXMATCH(I565,""Networking""),1,0)
"),1.0)</f>
        <v>1</v>
      </c>
      <c r="P565" s="6">
        <f>IFERROR(__xludf.DUMMYFUNCTION("IF(REGEXMATCH(I565,""Switch Career""),1,0)
"),1.0)</f>
        <v>1</v>
      </c>
    </row>
    <row r="566" ht="22.5" customHeight="1">
      <c r="A566" s="3">
        <v>46047.65273706018</v>
      </c>
      <c r="B566" s="5" t="s">
        <v>2366</v>
      </c>
      <c r="C566" s="5" t="s">
        <v>2367</v>
      </c>
      <c r="D566" s="4" t="s">
        <v>2368</v>
      </c>
      <c r="E566" s="5" t="s">
        <v>207</v>
      </c>
      <c r="F566" s="5" t="s">
        <v>49</v>
      </c>
      <c r="G566" s="5" t="s">
        <v>2369</v>
      </c>
      <c r="H566" s="5" t="s">
        <v>2370</v>
      </c>
      <c r="I566" s="5" t="s">
        <v>52</v>
      </c>
      <c r="J566" s="5" t="s">
        <v>76</v>
      </c>
      <c r="K566" s="6" t="str">
        <f t="shared" si="1"/>
        <v>087798264616</v>
      </c>
      <c r="L566" s="6" t="str">
        <f>IFERROR(
VLOOKUP(
TRIM(
IF(ISNUMBER(FIND(",",E566)),
LEFT(E566,FIND(",",E566)-1),
E566
)
),
master!A:B,
2,
FALSE
),
"Belum ada mapping"
)
</f>
        <v>Jakarta</v>
      </c>
      <c r="M566" s="6">
        <f>IFERROR(__xludf.DUMMYFUNCTION("IF(REGEXMATCH(I566,""Cari Kerja""),1,0)
"),0.0)</f>
        <v>0</v>
      </c>
      <c r="N566" s="6">
        <f>IFERROR(__xludf.DUMMYFUNCTION("IF(REGEXMATCH(I566,""Upskill""),1,0)
"),1.0)</f>
        <v>1</v>
      </c>
      <c r="O566" s="6">
        <f>IFERROR(__xludf.DUMMYFUNCTION("IF(REGEXMATCH(I566,""Networking""),1,0)
"),1.0)</f>
        <v>1</v>
      </c>
      <c r="P566" s="6">
        <f>IFERROR(__xludf.DUMMYFUNCTION("IF(REGEXMATCH(I566,""Switch Career""),1,0)
"),1.0)</f>
        <v>1</v>
      </c>
    </row>
    <row r="567" ht="22.5" customHeight="1">
      <c r="A567" s="7">
        <v>46040.36368815972</v>
      </c>
      <c r="B567" s="8" t="s">
        <v>2371</v>
      </c>
      <c r="C567" s="8" t="s">
        <v>2372</v>
      </c>
      <c r="D567" s="9" t="s">
        <v>2373</v>
      </c>
      <c r="E567" s="8" t="s">
        <v>48</v>
      </c>
      <c r="F567" s="8" t="s">
        <v>49</v>
      </c>
      <c r="G567" s="8" t="s">
        <v>2374</v>
      </c>
      <c r="H567" s="8" t="s">
        <v>51</v>
      </c>
      <c r="I567" s="8" t="s">
        <v>12</v>
      </c>
      <c r="J567" s="8" t="s">
        <v>24</v>
      </c>
      <c r="K567" s="6" t="str">
        <f t="shared" si="1"/>
        <v>081389403300</v>
      </c>
      <c r="L567" s="6" t="str">
        <f>IFERROR(
VLOOKUP(
TRIM(
IF(ISNUMBER(FIND(",",E567)),
LEFT(E567,FIND(",",E567)-1),
E567
)
),
master!A:B,
2,
FALSE
),
"Belum ada mapping"
)
</f>
        <v>DI Yogyakarta</v>
      </c>
      <c r="M567" s="6">
        <f>IFERROR(__xludf.DUMMYFUNCTION("IF(REGEXMATCH(I567,""Cari Kerja""),1,0)
"),1.0)</f>
        <v>1</v>
      </c>
      <c r="N567" s="6">
        <f>IFERROR(__xludf.DUMMYFUNCTION("IF(REGEXMATCH(I567,""Upskill""),1,0)
"),0.0)</f>
        <v>0</v>
      </c>
      <c r="O567" s="6">
        <f>IFERROR(__xludf.DUMMYFUNCTION("IF(REGEXMATCH(I567,""Networking""),1,0)
"),0.0)</f>
        <v>0</v>
      </c>
      <c r="P567" s="6">
        <f>IFERROR(__xludf.DUMMYFUNCTION("IF(REGEXMATCH(I567,""Switch Career""),1,0)
"),0.0)</f>
        <v>0</v>
      </c>
    </row>
    <row r="568" ht="22.5" customHeight="1">
      <c r="A568" s="3">
        <v>46046.59155387731</v>
      </c>
      <c r="B568" s="5" t="s">
        <v>2375</v>
      </c>
      <c r="C568" s="5" t="s">
        <v>2376</v>
      </c>
      <c r="D568" s="4" t="s">
        <v>2377</v>
      </c>
      <c r="E568" s="5" t="s">
        <v>1132</v>
      </c>
      <c r="F568" s="5" t="s">
        <v>20</v>
      </c>
      <c r="G568" s="5" t="s">
        <v>69</v>
      </c>
      <c r="H568" s="5" t="s">
        <v>51</v>
      </c>
      <c r="I568" s="5" t="s">
        <v>59</v>
      </c>
      <c r="J568" s="5" t="s">
        <v>24</v>
      </c>
      <c r="K568" s="6" t="str">
        <f t="shared" si="1"/>
        <v>081615995010</v>
      </c>
      <c r="L568" s="6" t="str">
        <f>IFERROR(
VLOOKUP(
TRIM(
IF(ISNUMBER(FIND(",",E568)),
LEFT(E568,FIND(",",E568)-1),
E568
)
),
master!A:B,
2,
FALSE
),
"Belum ada mapping"
)
</f>
        <v>Jawa Timur</v>
      </c>
      <c r="M568" s="6">
        <f>IFERROR(__xludf.DUMMYFUNCTION("IF(REGEXMATCH(I568,""Cari Kerja""),1,0)
"),0.0)</f>
        <v>0</v>
      </c>
      <c r="N568" s="6">
        <f>IFERROR(__xludf.DUMMYFUNCTION("IF(REGEXMATCH(I568,""Upskill""),1,0)
"),1.0)</f>
        <v>1</v>
      </c>
      <c r="O568" s="6">
        <f>IFERROR(__xludf.DUMMYFUNCTION("IF(REGEXMATCH(I568,""Networking""),1,0)
"),1.0)</f>
        <v>1</v>
      </c>
      <c r="P568" s="6">
        <f>IFERROR(__xludf.DUMMYFUNCTION("IF(REGEXMATCH(I568,""Switch Career""),1,0)
"),0.0)</f>
        <v>0</v>
      </c>
    </row>
    <row r="569" ht="22.5" customHeight="1">
      <c r="A569" s="7">
        <v>46040.3611715625</v>
      </c>
      <c r="B569" s="8" t="s">
        <v>2378</v>
      </c>
      <c r="C569" s="8" t="s">
        <v>2379</v>
      </c>
      <c r="D569" s="9" t="s">
        <v>2380</v>
      </c>
      <c r="E569" s="8" t="s">
        <v>2381</v>
      </c>
      <c r="F569" s="8" t="s">
        <v>20</v>
      </c>
      <c r="G569" s="8" t="s">
        <v>2382</v>
      </c>
      <c r="H569" s="8" t="s">
        <v>439</v>
      </c>
      <c r="I569" s="8" t="s">
        <v>31</v>
      </c>
      <c r="J569" s="8" t="s">
        <v>24</v>
      </c>
      <c r="K569" s="6" t="str">
        <f t="shared" si="1"/>
        <v>085700205484</v>
      </c>
      <c r="L569" s="6" t="str">
        <f>IFERROR(
VLOOKUP(
TRIM(
IF(ISNUMBER(FIND(",",E569)),
LEFT(E569,FIND(",",E569)-1),
E569
)
),
master!A:B,
2,
FALSE
),
"Belum ada mapping"
)
</f>
        <v>Jawa Barat</v>
      </c>
      <c r="M569" s="6">
        <f>IFERROR(__xludf.DUMMYFUNCTION("IF(REGEXMATCH(I569,""Cari Kerja""),1,0)
"),1.0)</f>
        <v>1</v>
      </c>
      <c r="N569" s="6">
        <f>IFERROR(__xludf.DUMMYFUNCTION("IF(REGEXMATCH(I569,""Upskill""),1,0)
"),1.0)</f>
        <v>1</v>
      </c>
      <c r="O569" s="6">
        <f>IFERROR(__xludf.DUMMYFUNCTION("IF(REGEXMATCH(I569,""Networking""),1,0)
"),1.0)</f>
        <v>1</v>
      </c>
      <c r="P569" s="6">
        <f>IFERROR(__xludf.DUMMYFUNCTION("IF(REGEXMATCH(I569,""Switch Career""),1,0)
"),1.0)</f>
        <v>1</v>
      </c>
    </row>
    <row r="570" ht="22.5" customHeight="1">
      <c r="A570" s="3">
        <v>46042.285582847224</v>
      </c>
      <c r="B570" s="5" t="s">
        <v>2383</v>
      </c>
      <c r="C570" s="5" t="s">
        <v>2384</v>
      </c>
      <c r="D570" s="4" t="s">
        <v>2385</v>
      </c>
      <c r="E570" s="5" t="s">
        <v>218</v>
      </c>
      <c r="F570" s="5" t="s">
        <v>49</v>
      </c>
      <c r="G570" s="5" t="s">
        <v>2386</v>
      </c>
      <c r="H570" s="5" t="s">
        <v>245</v>
      </c>
      <c r="I570" s="5" t="s">
        <v>52</v>
      </c>
      <c r="J570" s="5" t="s">
        <v>24</v>
      </c>
      <c r="K570" s="6" t="str">
        <f t="shared" si="1"/>
        <v>081282085157</v>
      </c>
      <c r="L570" s="6" t="str">
        <f>IFERROR(
VLOOKUP(
TRIM(
IF(ISNUMBER(FIND(",",E570)),
LEFT(E570,FIND(",",E570)-1),
E570
)
),
master!A:B,
2,
FALSE
),
"Belum ada mapping"
)
</f>
        <v>Banten</v>
      </c>
      <c r="M570" s="6">
        <f>IFERROR(__xludf.DUMMYFUNCTION("IF(REGEXMATCH(I570,""Cari Kerja""),1,0)
"),0.0)</f>
        <v>0</v>
      </c>
      <c r="N570" s="6">
        <f>IFERROR(__xludf.DUMMYFUNCTION("IF(REGEXMATCH(I570,""Upskill""),1,0)
"),1.0)</f>
        <v>1</v>
      </c>
      <c r="O570" s="6">
        <f>IFERROR(__xludf.DUMMYFUNCTION("IF(REGEXMATCH(I570,""Networking""),1,0)
"),1.0)</f>
        <v>1</v>
      </c>
      <c r="P570" s="6">
        <f>IFERROR(__xludf.DUMMYFUNCTION("IF(REGEXMATCH(I570,""Switch Career""),1,0)
"),1.0)</f>
        <v>1</v>
      </c>
    </row>
    <row r="571" ht="22.5" customHeight="1">
      <c r="A571" s="3">
        <v>46042.33992298611</v>
      </c>
      <c r="B571" s="5" t="s">
        <v>2387</v>
      </c>
      <c r="C571" s="5" t="s">
        <v>2388</v>
      </c>
      <c r="D571" s="4" t="s">
        <v>2389</v>
      </c>
      <c r="E571" s="5" t="s">
        <v>42</v>
      </c>
      <c r="F571" s="5" t="s">
        <v>49</v>
      </c>
      <c r="G571" s="5" t="s">
        <v>2390</v>
      </c>
      <c r="H571" s="5" t="s">
        <v>51</v>
      </c>
      <c r="I571" s="5" t="s">
        <v>31</v>
      </c>
      <c r="J571" s="5" t="s">
        <v>24</v>
      </c>
      <c r="K571" s="6" t="str">
        <f t="shared" si="1"/>
        <v>089690483883</v>
      </c>
      <c r="L571" s="6" t="str">
        <f>IFERROR(
VLOOKUP(
TRIM(
IF(ISNUMBER(FIND(",",E571)),
LEFT(E571,FIND(",",E571)-1),
E571
)
),
master!A:B,
2,
FALSE
),
"Belum ada mapping"
)
</f>
        <v>Jawa Barat</v>
      </c>
      <c r="M571" s="6">
        <f>IFERROR(__xludf.DUMMYFUNCTION("IF(REGEXMATCH(I571,""Cari Kerja""),1,0)
"),1.0)</f>
        <v>1</v>
      </c>
      <c r="N571" s="6">
        <f>IFERROR(__xludf.DUMMYFUNCTION("IF(REGEXMATCH(I571,""Upskill""),1,0)
"),1.0)</f>
        <v>1</v>
      </c>
      <c r="O571" s="6">
        <f>IFERROR(__xludf.DUMMYFUNCTION("IF(REGEXMATCH(I571,""Networking""),1,0)
"),1.0)</f>
        <v>1</v>
      </c>
      <c r="P571" s="6">
        <f>IFERROR(__xludf.DUMMYFUNCTION("IF(REGEXMATCH(I571,""Switch Career""),1,0)
"),1.0)</f>
        <v>1</v>
      </c>
    </row>
    <row r="572" ht="22.5" customHeight="1">
      <c r="A572" s="3">
        <v>46041.53576459491</v>
      </c>
      <c r="B572" s="5" t="s">
        <v>2391</v>
      </c>
      <c r="C572" s="5" t="s">
        <v>2392</v>
      </c>
      <c r="D572" s="4" t="s">
        <v>2393</v>
      </c>
      <c r="E572" s="5" t="s">
        <v>1306</v>
      </c>
      <c r="F572" s="5" t="s">
        <v>49</v>
      </c>
      <c r="G572" s="5" t="s">
        <v>267</v>
      </c>
      <c r="H572" s="5" t="s">
        <v>187</v>
      </c>
      <c r="I572" s="5" t="s">
        <v>23</v>
      </c>
      <c r="J572" s="5" t="s">
        <v>24</v>
      </c>
      <c r="K572" s="6" t="str">
        <f t="shared" si="1"/>
        <v>083119978362</v>
      </c>
      <c r="L572" s="6" t="str">
        <f>IFERROR(
VLOOKUP(
TRIM(
IF(ISNUMBER(FIND(",",E572)),
LEFT(E572,FIND(",",E572)-1),
E572
)
),
master!A:B,
2,
FALSE
),
"Belum ada mapping"
)
</f>
        <v>Jawa Timur</v>
      </c>
      <c r="M572" s="6">
        <f>IFERROR(__xludf.DUMMYFUNCTION("IF(REGEXMATCH(I572,""Cari Kerja""),1,0)
"),1.0)</f>
        <v>1</v>
      </c>
      <c r="N572" s="6">
        <f>IFERROR(__xludf.DUMMYFUNCTION("IF(REGEXMATCH(I572,""Upskill""),1,0)
"),1.0)</f>
        <v>1</v>
      </c>
      <c r="O572" s="6">
        <f>IFERROR(__xludf.DUMMYFUNCTION("IF(REGEXMATCH(I572,""Networking""),1,0)
"),1.0)</f>
        <v>1</v>
      </c>
      <c r="P572" s="6">
        <f>IFERROR(__xludf.DUMMYFUNCTION("IF(REGEXMATCH(I572,""Switch Career""),1,0)
"),0.0)</f>
        <v>0</v>
      </c>
    </row>
    <row r="573" ht="22.5" customHeight="1">
      <c r="A573" s="3">
        <v>46051.39773951389</v>
      </c>
      <c r="B573" s="5" t="s">
        <v>2394</v>
      </c>
      <c r="C573" s="5" t="s">
        <v>2395</v>
      </c>
      <c r="D573" s="4" t="s">
        <v>2396</v>
      </c>
      <c r="E573" s="5" t="s">
        <v>2397</v>
      </c>
      <c r="F573" s="5" t="s">
        <v>49</v>
      </c>
      <c r="G573" s="5" t="s">
        <v>149</v>
      </c>
      <c r="H573" s="5" t="s">
        <v>577</v>
      </c>
      <c r="I573" s="5" t="s">
        <v>52</v>
      </c>
      <c r="J573" s="5" t="s">
        <v>24</v>
      </c>
      <c r="K573" s="10" t="str">
        <f t="shared" si="1"/>
        <v>083274815808</v>
      </c>
      <c r="L573" s="10" t="str">
        <f>IFERROR(
VLOOKUP(
TRIM(
IF(ISNUMBER(FIND(",",E573)),
LEFT(E573,FIND(",",E573)-1),
E573
)
),
master!A:B,
2,
FALSE
),
"Belum ada mapping"
)
</f>
        <v>Aceh</v>
      </c>
      <c r="M573" s="6">
        <f>IFERROR(__xludf.DUMMYFUNCTION("IF(REGEXMATCH(I573,""Cari Kerja""),1,0)
"),0.0)</f>
        <v>0</v>
      </c>
      <c r="N573" s="6">
        <f>IFERROR(__xludf.DUMMYFUNCTION("IF(REGEXMATCH(I573,""Upskill""),1,0)
"),1.0)</f>
        <v>1</v>
      </c>
      <c r="O573" s="6">
        <f>IFERROR(__xludf.DUMMYFUNCTION("IF(REGEXMATCH(I573,""Networking""),1,0)
"),1.0)</f>
        <v>1</v>
      </c>
      <c r="P573" s="6">
        <f>IFERROR(__xludf.DUMMYFUNCTION("IF(REGEXMATCH(I573,""Switch Career""),1,0)
"),1.0)</f>
        <v>1</v>
      </c>
    </row>
    <row r="574" ht="22.5" customHeight="1">
      <c r="A574" s="7">
        <v>46040.339473761574</v>
      </c>
      <c r="B574" s="8" t="s">
        <v>2398</v>
      </c>
      <c r="C574" s="8" t="s">
        <v>2399</v>
      </c>
      <c r="D574" s="9" t="s">
        <v>2400</v>
      </c>
      <c r="E574" s="8" t="s">
        <v>2401</v>
      </c>
      <c r="F574" s="8" t="s">
        <v>20</v>
      </c>
      <c r="G574" s="8" t="s">
        <v>149</v>
      </c>
      <c r="H574" s="8" t="s">
        <v>87</v>
      </c>
      <c r="I574" s="8" t="s">
        <v>31</v>
      </c>
      <c r="J574" s="8" t="s">
        <v>24</v>
      </c>
      <c r="K574" s="6" t="str">
        <f t="shared" si="1"/>
        <v>0895378007252</v>
      </c>
      <c r="L574" s="6" t="str">
        <f>IFERROR(
VLOOKUP(
TRIM(
IF(ISNUMBER(FIND(",",E574)),
LEFT(E574,FIND(",",E574)-1),
E574
)
),
master!A:B,
2,
FALSE
),
"Belum ada mapping"
)
</f>
        <v>Jawa Tengah</v>
      </c>
      <c r="M574" s="6">
        <f>IFERROR(__xludf.DUMMYFUNCTION("IF(REGEXMATCH(I574,""Cari Kerja""),1,0)
"),1.0)</f>
        <v>1</v>
      </c>
      <c r="N574" s="6">
        <f>IFERROR(__xludf.DUMMYFUNCTION("IF(REGEXMATCH(I574,""Upskill""),1,0)
"),1.0)</f>
        <v>1</v>
      </c>
      <c r="O574" s="6">
        <f>IFERROR(__xludf.DUMMYFUNCTION("IF(REGEXMATCH(I574,""Networking""),1,0)
"),1.0)</f>
        <v>1</v>
      </c>
      <c r="P574" s="6">
        <f>IFERROR(__xludf.DUMMYFUNCTION("IF(REGEXMATCH(I574,""Switch Career""),1,0)
"),1.0)</f>
        <v>1</v>
      </c>
    </row>
    <row r="575" ht="22.5" customHeight="1">
      <c r="A575" s="3">
        <v>46043.29062354167</v>
      </c>
      <c r="B575" s="5" t="s">
        <v>2402</v>
      </c>
      <c r="C575" s="5" t="s">
        <v>2403</v>
      </c>
      <c r="D575" s="4" t="s">
        <v>2404</v>
      </c>
      <c r="E575" s="5" t="s">
        <v>2405</v>
      </c>
      <c r="F575" s="5" t="s">
        <v>49</v>
      </c>
      <c r="G575" s="5" t="s">
        <v>2316</v>
      </c>
      <c r="H575" s="5" t="s">
        <v>2406</v>
      </c>
      <c r="I575" s="5" t="s">
        <v>31</v>
      </c>
      <c r="J575" s="5" t="s">
        <v>38</v>
      </c>
      <c r="K575" s="6" t="str">
        <f t="shared" si="1"/>
        <v>085641286832</v>
      </c>
      <c r="L575" s="6" t="str">
        <f>IFERROR(
VLOOKUP(
TRIM(
IF(ISNUMBER(FIND(",",E575)),
LEFT(E575,FIND(",",E575)-1),
E575
)
),
master!A:B,
2,
FALSE
),
"Belum ada mapping"
)
</f>
        <v>Jawa Tengah</v>
      </c>
      <c r="M575" s="6">
        <f>IFERROR(__xludf.DUMMYFUNCTION("IF(REGEXMATCH(I575,""Cari Kerja""),1,0)
"),1.0)</f>
        <v>1</v>
      </c>
      <c r="N575" s="6">
        <f>IFERROR(__xludf.DUMMYFUNCTION("IF(REGEXMATCH(I575,""Upskill""),1,0)
"),1.0)</f>
        <v>1</v>
      </c>
      <c r="O575" s="6">
        <f>IFERROR(__xludf.DUMMYFUNCTION("IF(REGEXMATCH(I575,""Networking""),1,0)
"),1.0)</f>
        <v>1</v>
      </c>
      <c r="P575" s="6">
        <f>IFERROR(__xludf.DUMMYFUNCTION("IF(REGEXMATCH(I575,""Switch Career""),1,0)
"),1.0)</f>
        <v>1</v>
      </c>
    </row>
    <row r="576" ht="22.5" customHeight="1">
      <c r="A576" s="7">
        <v>46040.354263263886</v>
      </c>
      <c r="B576" s="8" t="s">
        <v>2407</v>
      </c>
      <c r="C576" s="8" t="s">
        <v>2408</v>
      </c>
      <c r="D576" s="9" t="s">
        <v>2409</v>
      </c>
      <c r="E576" s="8" t="s">
        <v>1617</v>
      </c>
      <c r="F576" s="8" t="s">
        <v>49</v>
      </c>
      <c r="G576" s="8" t="s">
        <v>2410</v>
      </c>
      <c r="H576" s="8" t="s">
        <v>51</v>
      </c>
      <c r="I576" s="8" t="s">
        <v>2294</v>
      </c>
      <c r="J576" s="8" t="s">
        <v>24</v>
      </c>
      <c r="K576" s="6" t="str">
        <f t="shared" si="1"/>
        <v>081282574664</v>
      </c>
      <c r="L576" s="6" t="str">
        <f>IFERROR(
VLOOKUP(
TRIM(
IF(ISNUMBER(FIND(",",E576)),
LEFT(E576,FIND(",",E576)-1),
E576
)
),
master!A:B,
2,
FALSE
),
"Belum ada mapping"
)
</f>
        <v>Jakarta</v>
      </c>
      <c r="M576" s="6">
        <f>IFERROR(__xludf.DUMMYFUNCTION("IF(REGEXMATCH(I576,""Cari Kerja""),1,0)
"),0.0)</f>
        <v>0</v>
      </c>
      <c r="N576" s="6">
        <f>IFERROR(__xludf.DUMMYFUNCTION("IF(REGEXMATCH(I576,""Upskill""),1,0)
"),0.0)</f>
        <v>0</v>
      </c>
      <c r="O576" s="6">
        <f>IFERROR(__xludf.DUMMYFUNCTION("IF(REGEXMATCH(I576,""Networking""),1,0)
"),1.0)</f>
        <v>1</v>
      </c>
      <c r="P576" s="6">
        <f>IFERROR(__xludf.DUMMYFUNCTION("IF(REGEXMATCH(I576,""Switch Career""),1,0)
"),1.0)</f>
        <v>1</v>
      </c>
    </row>
    <row r="577" ht="22.5" customHeight="1">
      <c r="A577" s="3">
        <v>46046.56823027778</v>
      </c>
      <c r="B577" s="5" t="s">
        <v>2411</v>
      </c>
      <c r="C577" s="5" t="s">
        <v>2412</v>
      </c>
      <c r="D577" s="4" t="s">
        <v>2413</v>
      </c>
      <c r="E577" s="5" t="s">
        <v>92</v>
      </c>
      <c r="F577" s="5" t="s">
        <v>49</v>
      </c>
      <c r="G577" s="5" t="s">
        <v>2414</v>
      </c>
      <c r="H577" s="5" t="s">
        <v>93</v>
      </c>
      <c r="I577" s="5" t="s">
        <v>59</v>
      </c>
      <c r="J577" s="5" t="s">
        <v>76</v>
      </c>
      <c r="K577" s="6" t="str">
        <f t="shared" si="1"/>
        <v>087889172842</v>
      </c>
      <c r="L577" s="6" t="str">
        <f>IFERROR(
VLOOKUP(
TRIM(
IF(ISNUMBER(FIND(",",E577)),
LEFT(E577,FIND(",",E577)-1),
E577
)
),
master!A:B,
2,
FALSE
),
"Belum ada mapping"
)
</f>
        <v>Jawa Barat</v>
      </c>
      <c r="M577" s="6">
        <f>IFERROR(__xludf.DUMMYFUNCTION("IF(REGEXMATCH(I577,""Cari Kerja""),1,0)
"),0.0)</f>
        <v>0</v>
      </c>
      <c r="N577" s="6">
        <f>IFERROR(__xludf.DUMMYFUNCTION("IF(REGEXMATCH(I577,""Upskill""),1,0)
"),1.0)</f>
        <v>1</v>
      </c>
      <c r="O577" s="6">
        <f>IFERROR(__xludf.DUMMYFUNCTION("IF(REGEXMATCH(I577,""Networking""),1,0)
"),1.0)</f>
        <v>1</v>
      </c>
      <c r="P577" s="6">
        <f>IFERROR(__xludf.DUMMYFUNCTION("IF(REGEXMATCH(I577,""Switch Career""),1,0)
"),0.0)</f>
        <v>0</v>
      </c>
    </row>
    <row r="578" ht="22.5" customHeight="1">
      <c r="A578" s="3">
        <v>46043.35066921296</v>
      </c>
      <c r="B578" s="5" t="s">
        <v>2415</v>
      </c>
      <c r="C578" s="5" t="s">
        <v>2416</v>
      </c>
      <c r="D578" s="4" t="s">
        <v>2417</v>
      </c>
      <c r="E578" s="5" t="s">
        <v>1151</v>
      </c>
      <c r="F578" s="5" t="s">
        <v>20</v>
      </c>
      <c r="G578" s="5" t="s">
        <v>69</v>
      </c>
      <c r="H578" s="5" t="s">
        <v>187</v>
      </c>
      <c r="I578" s="5" t="s">
        <v>23</v>
      </c>
      <c r="J578" s="5" t="s">
        <v>24</v>
      </c>
      <c r="K578" s="6" t="str">
        <f t="shared" si="1"/>
        <v>081295271424</v>
      </c>
      <c r="L578" s="6" t="str">
        <f>IFERROR(
VLOOKUP(
TRIM(
IF(ISNUMBER(FIND(",",E578)),
LEFT(E578,FIND(",",E578)-1),
E578
)
),
master!A:B,
2,
FALSE
),
"Belum ada mapping"
)
</f>
        <v>Jawa Barat</v>
      </c>
      <c r="M578" s="6">
        <f>IFERROR(__xludf.DUMMYFUNCTION("IF(REGEXMATCH(I578,""Cari Kerja""),1,0)
"),1.0)</f>
        <v>1</v>
      </c>
      <c r="N578" s="6">
        <f>IFERROR(__xludf.DUMMYFUNCTION("IF(REGEXMATCH(I578,""Upskill""),1,0)
"),1.0)</f>
        <v>1</v>
      </c>
      <c r="O578" s="6">
        <f>IFERROR(__xludf.DUMMYFUNCTION("IF(REGEXMATCH(I578,""Networking""),1,0)
"),1.0)</f>
        <v>1</v>
      </c>
      <c r="P578" s="6">
        <f>IFERROR(__xludf.DUMMYFUNCTION("IF(REGEXMATCH(I578,""Switch Career""),1,0)
"),0.0)</f>
        <v>0</v>
      </c>
    </row>
    <row r="579" ht="22.5" customHeight="1">
      <c r="A579" s="3">
        <v>46048.53510592593</v>
      </c>
      <c r="B579" s="5" t="s">
        <v>2418</v>
      </c>
      <c r="C579" s="5" t="s">
        <v>2419</v>
      </c>
      <c r="D579" s="4" t="s">
        <v>2420</v>
      </c>
      <c r="E579" s="5" t="s">
        <v>48</v>
      </c>
      <c r="F579" s="5" t="s">
        <v>20</v>
      </c>
      <c r="G579" s="5" t="s">
        <v>267</v>
      </c>
      <c r="H579" s="5" t="s">
        <v>198</v>
      </c>
      <c r="I579" s="5" t="s">
        <v>31</v>
      </c>
      <c r="J579" s="5" t="s">
        <v>24</v>
      </c>
      <c r="K579" s="6" t="str">
        <f t="shared" si="1"/>
        <v>082267205135</v>
      </c>
      <c r="L579" s="6" t="str">
        <f>IFERROR(
VLOOKUP(
TRIM(
IF(ISNUMBER(FIND(",",E579)),
LEFT(E579,FIND(",",E579)-1),
E579
)
),
master!A:B,
2,
FALSE
),
"Belum ada mapping"
)
</f>
        <v>DI Yogyakarta</v>
      </c>
      <c r="M579" s="6">
        <f>IFERROR(__xludf.DUMMYFUNCTION("IF(REGEXMATCH(I579,""Cari Kerja""),1,0)
"),1.0)</f>
        <v>1</v>
      </c>
      <c r="N579" s="6">
        <f>IFERROR(__xludf.DUMMYFUNCTION("IF(REGEXMATCH(I579,""Upskill""),1,0)
"),1.0)</f>
        <v>1</v>
      </c>
      <c r="O579" s="6">
        <f>IFERROR(__xludf.DUMMYFUNCTION("IF(REGEXMATCH(I579,""Networking""),1,0)
"),1.0)</f>
        <v>1</v>
      </c>
      <c r="P579" s="6">
        <f>IFERROR(__xludf.DUMMYFUNCTION("IF(REGEXMATCH(I579,""Switch Career""),1,0)
"),1.0)</f>
        <v>1</v>
      </c>
    </row>
    <row r="580" ht="22.5" customHeight="1">
      <c r="A580" s="7">
        <v>46040.35674519676</v>
      </c>
      <c r="B580" s="8" t="s">
        <v>2421</v>
      </c>
      <c r="C580" s="8" t="s">
        <v>2422</v>
      </c>
      <c r="D580" s="9" t="s">
        <v>2423</v>
      </c>
      <c r="E580" s="8" t="s">
        <v>2424</v>
      </c>
      <c r="F580" s="8" t="s">
        <v>49</v>
      </c>
      <c r="G580" s="8" t="s">
        <v>405</v>
      </c>
      <c r="H580" s="8" t="s">
        <v>176</v>
      </c>
      <c r="I580" s="8" t="s">
        <v>12</v>
      </c>
      <c r="J580" s="8" t="s">
        <v>24</v>
      </c>
      <c r="K580" s="6" t="str">
        <f t="shared" si="1"/>
        <v>081355042996</v>
      </c>
      <c r="L580" s="6" t="str">
        <f>IFERROR(
VLOOKUP(
TRIM(
IF(ISNUMBER(FIND(",",E580)),
LEFT(E580,FIND(",",E580)-1),
E580
)
),
master!A:B,
2,
FALSE
),
"Belum ada mapping"
)
</f>
        <v>Sulawesi Selatan</v>
      </c>
      <c r="M580" s="6">
        <f>IFERROR(__xludf.DUMMYFUNCTION("IF(REGEXMATCH(I580,""Cari Kerja""),1,0)
"),1.0)</f>
        <v>1</v>
      </c>
      <c r="N580" s="6">
        <f>IFERROR(__xludf.DUMMYFUNCTION("IF(REGEXMATCH(I580,""Upskill""),1,0)
"),0.0)</f>
        <v>0</v>
      </c>
      <c r="O580" s="6">
        <f>IFERROR(__xludf.DUMMYFUNCTION("IF(REGEXMATCH(I580,""Networking""),1,0)
"),0.0)</f>
        <v>0</v>
      </c>
      <c r="P580" s="6">
        <f>IFERROR(__xludf.DUMMYFUNCTION("IF(REGEXMATCH(I580,""Switch Career""),1,0)
"),0.0)</f>
        <v>0</v>
      </c>
    </row>
    <row r="581" ht="22.5" customHeight="1">
      <c r="A581" s="7">
        <v>46040.43856709491</v>
      </c>
      <c r="B581" s="8" t="s">
        <v>2425</v>
      </c>
      <c r="C581" s="8" t="s">
        <v>2426</v>
      </c>
      <c r="D581" s="9" t="s">
        <v>2427</v>
      </c>
      <c r="E581" s="8" t="s">
        <v>551</v>
      </c>
      <c r="F581" s="8" t="s">
        <v>49</v>
      </c>
      <c r="G581" s="8" t="s">
        <v>1312</v>
      </c>
      <c r="H581" s="8" t="s">
        <v>209</v>
      </c>
      <c r="I581" s="8" t="s">
        <v>31</v>
      </c>
      <c r="J581" s="8" t="s">
        <v>24</v>
      </c>
      <c r="K581" s="6" t="str">
        <f t="shared" si="1"/>
        <v>081269927520</v>
      </c>
      <c r="L581" s="6" t="str">
        <f>IFERROR(
VLOOKUP(
TRIM(
IF(ISNUMBER(FIND(",",E581)),
LEFT(E581,FIND(",",E581)-1),
E581
)
),
master!A:B,
2,
FALSE
),
"Belum ada mapping"
)
</f>
        <v>Jawa Barat</v>
      </c>
      <c r="M581" s="6">
        <f>IFERROR(__xludf.DUMMYFUNCTION("IF(REGEXMATCH(I581,""Cari Kerja""),1,0)
"),1.0)</f>
        <v>1</v>
      </c>
      <c r="N581" s="6">
        <f>IFERROR(__xludf.DUMMYFUNCTION("IF(REGEXMATCH(I581,""Upskill""),1,0)
"),1.0)</f>
        <v>1</v>
      </c>
      <c r="O581" s="6">
        <f>IFERROR(__xludf.DUMMYFUNCTION("IF(REGEXMATCH(I581,""Networking""),1,0)
"),1.0)</f>
        <v>1</v>
      </c>
      <c r="P581" s="6">
        <f>IFERROR(__xludf.DUMMYFUNCTION("IF(REGEXMATCH(I581,""Switch Career""),1,0)
"),1.0)</f>
        <v>1</v>
      </c>
    </row>
    <row r="582" ht="22.5" customHeight="1">
      <c r="A582" s="7">
        <v>46040.347910752316</v>
      </c>
      <c r="B582" s="8" t="s">
        <v>2428</v>
      </c>
      <c r="C582" s="8" t="s">
        <v>2429</v>
      </c>
      <c r="D582" s="9" t="s">
        <v>2430</v>
      </c>
      <c r="E582" s="8" t="s">
        <v>1440</v>
      </c>
      <c r="F582" s="8" t="s">
        <v>49</v>
      </c>
      <c r="G582" s="8" t="s">
        <v>2431</v>
      </c>
      <c r="H582" s="8" t="s">
        <v>1988</v>
      </c>
      <c r="I582" s="8" t="s">
        <v>59</v>
      </c>
      <c r="J582" s="8" t="s">
        <v>24</v>
      </c>
      <c r="K582" s="6" t="str">
        <f t="shared" si="1"/>
        <v>082348702161</v>
      </c>
      <c r="L582" s="6" t="str">
        <f>IFERROR(
VLOOKUP(
TRIM(
IF(ISNUMBER(FIND(",",E582)),
LEFT(E582,FIND(",",E582)-1),
E582
)
),
master!A:B,
2,
FALSE
),
"Belum ada mapping"
)
</f>
        <v>Sulawesi Tenggara</v>
      </c>
      <c r="M582" s="6">
        <f>IFERROR(__xludf.DUMMYFUNCTION("IF(REGEXMATCH(I582,""Cari Kerja""),1,0)
"),0.0)</f>
        <v>0</v>
      </c>
      <c r="N582" s="6">
        <f>IFERROR(__xludf.DUMMYFUNCTION("IF(REGEXMATCH(I582,""Upskill""),1,0)
"),1.0)</f>
        <v>1</v>
      </c>
      <c r="O582" s="6">
        <f>IFERROR(__xludf.DUMMYFUNCTION("IF(REGEXMATCH(I582,""Networking""),1,0)
"),1.0)</f>
        <v>1</v>
      </c>
      <c r="P582" s="6">
        <f>IFERROR(__xludf.DUMMYFUNCTION("IF(REGEXMATCH(I582,""Switch Career""),1,0)
"),0.0)</f>
        <v>0</v>
      </c>
    </row>
    <row r="583" ht="22.5" customHeight="1">
      <c r="A583" s="3">
        <v>46042.29341729167</v>
      </c>
      <c r="B583" s="5" t="s">
        <v>2432</v>
      </c>
      <c r="C583" s="5" t="s">
        <v>2433</v>
      </c>
      <c r="D583" s="4" t="s">
        <v>2434</v>
      </c>
      <c r="E583" s="5" t="s">
        <v>35</v>
      </c>
      <c r="F583" s="5" t="s">
        <v>20</v>
      </c>
      <c r="G583" s="5" t="s">
        <v>21</v>
      </c>
      <c r="H583" s="5" t="s">
        <v>391</v>
      </c>
      <c r="I583" s="5" t="s">
        <v>130</v>
      </c>
      <c r="J583" s="5" t="s">
        <v>24</v>
      </c>
      <c r="K583" s="6" t="str">
        <f t="shared" si="1"/>
        <v>085648952385</v>
      </c>
      <c r="L583" s="6" t="str">
        <f>IFERROR(
VLOOKUP(
TRIM(
IF(ISNUMBER(FIND(",",E583)),
LEFT(E583,FIND(",",E583)-1),
E583
)
),
master!A:B,
2,
FALSE
),
"Belum ada mapping"
)
</f>
        <v>Jawa Timur</v>
      </c>
      <c r="M583" s="6">
        <f>IFERROR(__xludf.DUMMYFUNCTION("IF(REGEXMATCH(I583,""Cari Kerja""),1,0)
"),1.0)</f>
        <v>1</v>
      </c>
      <c r="N583" s="6">
        <f>IFERROR(__xludf.DUMMYFUNCTION("IF(REGEXMATCH(I583,""Upskill""),1,0)
"),1.0)</f>
        <v>1</v>
      </c>
      <c r="O583" s="6">
        <f>IFERROR(__xludf.DUMMYFUNCTION("IF(REGEXMATCH(I583,""Networking""),1,0)
"),0.0)</f>
        <v>0</v>
      </c>
      <c r="P583" s="6">
        <f>IFERROR(__xludf.DUMMYFUNCTION("IF(REGEXMATCH(I583,""Switch Career""),1,0)
"),0.0)</f>
        <v>0</v>
      </c>
    </row>
    <row r="584" ht="22.5" customHeight="1">
      <c r="A584" s="3">
        <v>46041.67895155093</v>
      </c>
      <c r="B584" s="5" t="s">
        <v>2435</v>
      </c>
      <c r="C584" s="5" t="s">
        <v>2436</v>
      </c>
      <c r="D584" s="4" t="s">
        <v>2437</v>
      </c>
      <c r="E584" s="5" t="s">
        <v>1067</v>
      </c>
      <c r="F584" s="5" t="s">
        <v>20</v>
      </c>
      <c r="G584" s="5" t="s">
        <v>49</v>
      </c>
      <c r="H584" s="5" t="s">
        <v>391</v>
      </c>
      <c r="I584" s="5" t="s">
        <v>31</v>
      </c>
      <c r="J584" s="5" t="s">
        <v>24</v>
      </c>
      <c r="K584" s="6" t="str">
        <f t="shared" si="1"/>
        <v>089514572127</v>
      </c>
      <c r="L584" s="6" t="str">
        <f>IFERROR(
VLOOKUP(
TRIM(
IF(ISNUMBER(FIND(",",E584)),
LEFT(E584,FIND(",",E584)-1),
E584
)
),
master!A:B,
2,
FALSE
),
"Belum ada mapping"
)
</f>
        <v>Jawa Barat</v>
      </c>
      <c r="M584" s="6">
        <f>IFERROR(__xludf.DUMMYFUNCTION("IF(REGEXMATCH(I584,""Cari Kerja""),1,0)
"),1.0)</f>
        <v>1</v>
      </c>
      <c r="N584" s="6">
        <f>IFERROR(__xludf.DUMMYFUNCTION("IF(REGEXMATCH(I584,""Upskill""),1,0)
"),1.0)</f>
        <v>1</v>
      </c>
      <c r="O584" s="6">
        <f>IFERROR(__xludf.DUMMYFUNCTION("IF(REGEXMATCH(I584,""Networking""),1,0)
"),1.0)</f>
        <v>1</v>
      </c>
      <c r="P584" s="6">
        <f>IFERROR(__xludf.DUMMYFUNCTION("IF(REGEXMATCH(I584,""Switch Career""),1,0)
"),1.0)</f>
        <v>1</v>
      </c>
    </row>
    <row r="585" ht="22.5" customHeight="1">
      <c r="A585" s="7">
        <v>46040.46971981481</v>
      </c>
      <c r="B585" s="8" t="s">
        <v>2438</v>
      </c>
      <c r="C585" s="8" t="s">
        <v>2439</v>
      </c>
      <c r="D585" s="9" t="s">
        <v>2440</v>
      </c>
      <c r="E585" s="8" t="s">
        <v>2441</v>
      </c>
      <c r="F585" s="8" t="s">
        <v>20</v>
      </c>
      <c r="G585" s="8" t="s">
        <v>2442</v>
      </c>
      <c r="H585" s="8" t="s">
        <v>153</v>
      </c>
      <c r="I585" s="8" t="s">
        <v>59</v>
      </c>
      <c r="J585" s="8" t="s">
        <v>38</v>
      </c>
      <c r="K585" s="6" t="str">
        <f t="shared" si="1"/>
        <v>085545191409</v>
      </c>
      <c r="L585" s="6" t="str">
        <f>IFERROR(
VLOOKUP(
TRIM(
IF(ISNUMBER(FIND(",",E585)),
LEFT(E585,FIND(",",E585)-1),
E585
)
),
master!A:B,
2,
FALSE
),
"Belum ada mapping"
)
</f>
        <v>Banten</v>
      </c>
      <c r="M585" s="6">
        <f>IFERROR(__xludf.DUMMYFUNCTION("IF(REGEXMATCH(I585,""Cari Kerja""),1,0)
"),0.0)</f>
        <v>0</v>
      </c>
      <c r="N585" s="6">
        <f>IFERROR(__xludf.DUMMYFUNCTION("IF(REGEXMATCH(I585,""Upskill""),1,0)
"),1.0)</f>
        <v>1</v>
      </c>
      <c r="O585" s="6">
        <f>IFERROR(__xludf.DUMMYFUNCTION("IF(REGEXMATCH(I585,""Networking""),1,0)
"),1.0)</f>
        <v>1</v>
      </c>
      <c r="P585" s="6">
        <f>IFERROR(__xludf.DUMMYFUNCTION("IF(REGEXMATCH(I585,""Switch Career""),1,0)
"),0.0)</f>
        <v>0</v>
      </c>
    </row>
    <row r="586" ht="22.5" customHeight="1">
      <c r="A586" s="3">
        <v>46046.57648048611</v>
      </c>
      <c r="B586" s="5" t="s">
        <v>2443</v>
      </c>
      <c r="C586" s="5" t="s">
        <v>2444</v>
      </c>
      <c r="D586" s="4" t="s">
        <v>2445</v>
      </c>
      <c r="E586" s="5" t="s">
        <v>1377</v>
      </c>
      <c r="F586" s="5" t="s">
        <v>49</v>
      </c>
      <c r="G586" s="5" t="s">
        <v>2446</v>
      </c>
      <c r="H586" s="5" t="s">
        <v>2447</v>
      </c>
      <c r="I586" s="5" t="s">
        <v>59</v>
      </c>
      <c r="J586" s="5" t="s">
        <v>24</v>
      </c>
      <c r="K586" s="6" t="str">
        <f t="shared" si="1"/>
        <v>087794134516</v>
      </c>
      <c r="L586" s="6" t="str">
        <f>IFERROR(
VLOOKUP(
TRIM(
IF(ISNUMBER(FIND(",",E586)),
LEFT(E586,FIND(",",E586)-1),
E586
)
),
master!A:B,
2,
FALSE
),
"Belum ada mapping"
)
</f>
        <v>Nusa Tenggara Barat</v>
      </c>
      <c r="M586" s="6">
        <f>IFERROR(__xludf.DUMMYFUNCTION("IF(REGEXMATCH(I586,""Cari Kerja""),1,0)
"),0.0)</f>
        <v>0</v>
      </c>
      <c r="N586" s="6">
        <f>IFERROR(__xludf.DUMMYFUNCTION("IF(REGEXMATCH(I586,""Upskill""),1,0)
"),1.0)</f>
        <v>1</v>
      </c>
      <c r="O586" s="6">
        <f>IFERROR(__xludf.DUMMYFUNCTION("IF(REGEXMATCH(I586,""Networking""),1,0)
"),1.0)</f>
        <v>1</v>
      </c>
      <c r="P586" s="6">
        <f>IFERROR(__xludf.DUMMYFUNCTION("IF(REGEXMATCH(I586,""Switch Career""),1,0)
"),0.0)</f>
        <v>0</v>
      </c>
    </row>
    <row r="587" ht="22.5" customHeight="1">
      <c r="A587" s="7">
        <v>46040.44143994213</v>
      </c>
      <c r="B587" s="8" t="s">
        <v>2448</v>
      </c>
      <c r="C587" s="8" t="s">
        <v>2449</v>
      </c>
      <c r="D587" s="9" t="s">
        <v>2450</v>
      </c>
      <c r="E587" s="8" t="s">
        <v>2451</v>
      </c>
      <c r="F587" s="8" t="s">
        <v>20</v>
      </c>
      <c r="G587" s="8" t="s">
        <v>29</v>
      </c>
      <c r="H587" s="8" t="s">
        <v>51</v>
      </c>
      <c r="I587" s="8" t="s">
        <v>31</v>
      </c>
      <c r="J587" s="8" t="s">
        <v>24</v>
      </c>
      <c r="K587" s="6" t="str">
        <f t="shared" si="1"/>
        <v>085378041762</v>
      </c>
      <c r="L587" s="6" t="str">
        <f>IFERROR(
VLOOKUP(
TRIM(
IF(ISNUMBER(FIND(",",E587)),
LEFT(E587,FIND(",",E587)-1),
E587
)
),
master!A:B,
2,
FALSE
),
"Belum ada mapping"
)
</f>
        <v>Jambi</v>
      </c>
      <c r="M587" s="6">
        <f>IFERROR(__xludf.DUMMYFUNCTION("IF(REGEXMATCH(I587,""Cari Kerja""),1,0)
"),1.0)</f>
        <v>1</v>
      </c>
      <c r="N587" s="6">
        <f>IFERROR(__xludf.DUMMYFUNCTION("IF(REGEXMATCH(I587,""Upskill""),1,0)
"),1.0)</f>
        <v>1</v>
      </c>
      <c r="O587" s="6">
        <f>IFERROR(__xludf.DUMMYFUNCTION("IF(REGEXMATCH(I587,""Networking""),1,0)
"),1.0)</f>
        <v>1</v>
      </c>
      <c r="P587" s="6">
        <f>IFERROR(__xludf.DUMMYFUNCTION("IF(REGEXMATCH(I587,""Switch Career""),1,0)
"),1.0)</f>
        <v>1</v>
      </c>
    </row>
    <row r="588" ht="22.5" customHeight="1">
      <c r="A588" s="3">
        <v>46044.53326297454</v>
      </c>
      <c r="B588" s="5" t="s">
        <v>2452</v>
      </c>
      <c r="C588" s="5" t="s">
        <v>2453</v>
      </c>
      <c r="D588" s="4" t="s">
        <v>2454</v>
      </c>
      <c r="E588" s="5" t="s">
        <v>1625</v>
      </c>
      <c r="F588" s="5" t="s">
        <v>20</v>
      </c>
      <c r="G588" s="5" t="s">
        <v>2455</v>
      </c>
      <c r="H588" s="5" t="s">
        <v>430</v>
      </c>
      <c r="I588" s="5" t="s">
        <v>23</v>
      </c>
      <c r="J588" s="5" t="s">
        <v>24</v>
      </c>
      <c r="K588" s="6" t="str">
        <f t="shared" si="1"/>
        <v>081347431355</v>
      </c>
      <c r="L588" s="6" t="str">
        <f>IFERROR(
VLOOKUP(
TRIM(
IF(ISNUMBER(FIND(",",E588)),
LEFT(E588,FIND(",",E588)-1),
E588
)
),
master!A:B,
2,
FALSE
),
"Belum ada mapping"
)
</f>
        <v>Kalimantan Timur</v>
      </c>
      <c r="M588" s="6">
        <f>IFERROR(__xludf.DUMMYFUNCTION("IF(REGEXMATCH(I588,""Cari Kerja""),1,0)
"),1.0)</f>
        <v>1</v>
      </c>
      <c r="N588" s="6">
        <f>IFERROR(__xludf.DUMMYFUNCTION("IF(REGEXMATCH(I588,""Upskill""),1,0)
"),1.0)</f>
        <v>1</v>
      </c>
      <c r="O588" s="6">
        <f>IFERROR(__xludf.DUMMYFUNCTION("IF(REGEXMATCH(I588,""Networking""),1,0)
"),1.0)</f>
        <v>1</v>
      </c>
      <c r="P588" s="6">
        <f>IFERROR(__xludf.DUMMYFUNCTION("IF(REGEXMATCH(I588,""Switch Career""),1,0)
"),0.0)</f>
        <v>0</v>
      </c>
    </row>
    <row r="589" ht="22.5" customHeight="1">
      <c r="A589" s="3">
        <v>46041.74431335648</v>
      </c>
      <c r="B589" s="5" t="s">
        <v>2456</v>
      </c>
      <c r="C589" s="5" t="s">
        <v>2457</v>
      </c>
      <c r="D589" s="4" t="s">
        <v>2458</v>
      </c>
      <c r="E589" s="5" t="s">
        <v>1701</v>
      </c>
      <c r="F589" s="5" t="s">
        <v>20</v>
      </c>
      <c r="G589" s="5" t="s">
        <v>69</v>
      </c>
      <c r="H589" s="5" t="s">
        <v>531</v>
      </c>
      <c r="I589" s="5" t="s">
        <v>130</v>
      </c>
      <c r="J589" s="5" t="s">
        <v>24</v>
      </c>
      <c r="K589" s="6" t="str">
        <f t="shared" si="1"/>
        <v>089508081278</v>
      </c>
      <c r="L589" s="6" t="str">
        <f>IFERROR(
VLOOKUP(
TRIM(
IF(ISNUMBER(FIND(",",E589)),
LEFT(E589,FIND(",",E589)-1),
E589
)
),
master!A:B,
2,
FALSE
),
"Belum ada mapping"
)
</f>
        <v>Jawa Tengah</v>
      </c>
      <c r="M589" s="6">
        <f>IFERROR(__xludf.DUMMYFUNCTION("IF(REGEXMATCH(I589,""Cari Kerja""),1,0)
"),1.0)</f>
        <v>1</v>
      </c>
      <c r="N589" s="6">
        <f>IFERROR(__xludf.DUMMYFUNCTION("IF(REGEXMATCH(I589,""Upskill""),1,0)
"),1.0)</f>
        <v>1</v>
      </c>
      <c r="O589" s="6">
        <f>IFERROR(__xludf.DUMMYFUNCTION("IF(REGEXMATCH(I589,""Networking""),1,0)
"),0.0)</f>
        <v>0</v>
      </c>
      <c r="P589" s="6">
        <f>IFERROR(__xludf.DUMMYFUNCTION("IF(REGEXMATCH(I589,""Switch Career""),1,0)
"),0.0)</f>
        <v>0</v>
      </c>
    </row>
    <row r="590" ht="22.5" customHeight="1">
      <c r="A590" s="3">
        <v>46043.68407909722</v>
      </c>
      <c r="B590" s="5" t="s">
        <v>2459</v>
      </c>
      <c r="C590" s="5" t="s">
        <v>2460</v>
      </c>
      <c r="D590" s="4" t="s">
        <v>2461</v>
      </c>
      <c r="E590" s="5" t="s">
        <v>364</v>
      </c>
      <c r="F590" s="5" t="s">
        <v>20</v>
      </c>
      <c r="G590" s="5" t="s">
        <v>69</v>
      </c>
      <c r="H590" s="5" t="s">
        <v>51</v>
      </c>
      <c r="I590" s="5" t="s">
        <v>31</v>
      </c>
      <c r="J590" s="5" t="s">
        <v>24</v>
      </c>
      <c r="K590" s="6" t="str">
        <f t="shared" si="1"/>
        <v>085155422131</v>
      </c>
      <c r="L590" s="6" t="str">
        <f>IFERROR(
VLOOKUP(
TRIM(
IF(ISNUMBER(FIND(",",E590)),
LEFT(E590,FIND(",",E590)-1),
E590
)
),
master!A:B,
2,
FALSE
),
"Belum ada mapping"
)
</f>
        <v>Jakarta</v>
      </c>
      <c r="M590" s="6">
        <f>IFERROR(__xludf.DUMMYFUNCTION("IF(REGEXMATCH(I590,""Cari Kerja""),1,0)
"),1.0)</f>
        <v>1</v>
      </c>
      <c r="N590" s="6">
        <f>IFERROR(__xludf.DUMMYFUNCTION("IF(REGEXMATCH(I590,""Upskill""),1,0)
"),1.0)</f>
        <v>1</v>
      </c>
      <c r="O590" s="6">
        <f>IFERROR(__xludf.DUMMYFUNCTION("IF(REGEXMATCH(I590,""Networking""),1,0)
"),1.0)</f>
        <v>1</v>
      </c>
      <c r="P590" s="6">
        <f>IFERROR(__xludf.DUMMYFUNCTION("IF(REGEXMATCH(I590,""Switch Career""),1,0)
"),1.0)</f>
        <v>1</v>
      </c>
    </row>
    <row r="591" ht="22.5" customHeight="1">
      <c r="A591" s="7">
        <v>46040.34309657407</v>
      </c>
      <c r="B591" s="8" t="s">
        <v>2462</v>
      </c>
      <c r="C591" s="8" t="s">
        <v>2463</v>
      </c>
      <c r="D591" s="9" t="s">
        <v>2464</v>
      </c>
      <c r="E591" s="8" t="s">
        <v>1132</v>
      </c>
      <c r="F591" s="8" t="s">
        <v>49</v>
      </c>
      <c r="G591" s="8" t="s">
        <v>2465</v>
      </c>
      <c r="H591" s="8" t="s">
        <v>187</v>
      </c>
      <c r="I591" s="8" t="s">
        <v>31</v>
      </c>
      <c r="J591" s="8" t="s">
        <v>24</v>
      </c>
      <c r="K591" s="6" t="str">
        <f t="shared" si="1"/>
        <v>082335076561</v>
      </c>
      <c r="L591" s="6" t="str">
        <f>IFERROR(
VLOOKUP(
TRIM(
IF(ISNUMBER(FIND(",",E591)),
LEFT(E591,FIND(",",E591)-1),
E591
)
),
master!A:B,
2,
FALSE
),
"Belum ada mapping"
)
</f>
        <v>Jawa Timur</v>
      </c>
      <c r="M591" s="6">
        <f>IFERROR(__xludf.DUMMYFUNCTION("IF(REGEXMATCH(I591,""Cari Kerja""),1,0)
"),1.0)</f>
        <v>1</v>
      </c>
      <c r="N591" s="6">
        <f>IFERROR(__xludf.DUMMYFUNCTION("IF(REGEXMATCH(I591,""Upskill""),1,0)
"),1.0)</f>
        <v>1</v>
      </c>
      <c r="O591" s="6">
        <f>IFERROR(__xludf.DUMMYFUNCTION("IF(REGEXMATCH(I591,""Networking""),1,0)
"),1.0)</f>
        <v>1</v>
      </c>
      <c r="P591" s="6">
        <f>IFERROR(__xludf.DUMMYFUNCTION("IF(REGEXMATCH(I591,""Switch Career""),1,0)
"),1.0)</f>
        <v>1</v>
      </c>
    </row>
    <row r="592" ht="22.5" customHeight="1">
      <c r="A592" s="3">
        <v>46054.844609259264</v>
      </c>
      <c r="B592" s="5" t="s">
        <v>2466</v>
      </c>
      <c r="C592" s="5" t="s">
        <v>2467</v>
      </c>
      <c r="D592" s="4" t="s">
        <v>2468</v>
      </c>
      <c r="E592" s="5" t="s">
        <v>151</v>
      </c>
      <c r="F592" s="5" t="s">
        <v>20</v>
      </c>
      <c r="G592" s="5" t="s">
        <v>2469</v>
      </c>
      <c r="H592" s="5" t="s">
        <v>198</v>
      </c>
      <c r="I592" s="5" t="s">
        <v>2294</v>
      </c>
      <c r="J592" s="5" t="s">
        <v>24</v>
      </c>
      <c r="K592" s="10" t="str">
        <f t="shared" si="1"/>
        <v>081267570195</v>
      </c>
      <c r="L592" s="10" t="str">
        <f>IFERROR(
VLOOKUP(
TRIM(
IF(ISNUMBER(FIND(",",E592)),
LEFT(E592,FIND(",",E592)-1),
E592
)
),
master!A:B,
2,
FALSE
),
"Belum ada mapping"
)
</f>
        <v>Riau</v>
      </c>
      <c r="M592" s="10">
        <f>IFERROR(__xludf.DUMMYFUNCTION("IF(REGEXMATCH(I592,""Cari Kerja""),1,0)
"),0.0)</f>
        <v>0</v>
      </c>
      <c r="N592" s="10">
        <f>IFERROR(__xludf.DUMMYFUNCTION("IF(REGEXMATCH(I592,""Upskill""),1,0)
"),0.0)</f>
        <v>0</v>
      </c>
      <c r="O592" s="10">
        <f>IFERROR(__xludf.DUMMYFUNCTION("IF(REGEXMATCH(I592,""Networking""),1,0)
"),1.0)</f>
        <v>1</v>
      </c>
      <c r="P592" s="10">
        <f>IFERROR(__xludf.DUMMYFUNCTION("IF(REGEXMATCH(I592,""Switch Career""),1,0)
"),1.0)</f>
        <v>1</v>
      </c>
    </row>
    <row r="593" ht="22.5" customHeight="1">
      <c r="A593" s="3">
        <v>46044.58763650463</v>
      </c>
      <c r="B593" s="5" t="s">
        <v>2470</v>
      </c>
      <c r="C593" s="5" t="s">
        <v>2471</v>
      </c>
      <c r="D593" s="4" t="s">
        <v>2472</v>
      </c>
      <c r="E593" s="5" t="s">
        <v>2473</v>
      </c>
      <c r="F593" s="5" t="s">
        <v>20</v>
      </c>
      <c r="G593" s="5" t="s">
        <v>169</v>
      </c>
      <c r="H593" s="5" t="s">
        <v>51</v>
      </c>
      <c r="I593" s="5" t="s">
        <v>31</v>
      </c>
      <c r="J593" s="5" t="s">
        <v>24</v>
      </c>
      <c r="K593" s="6" t="str">
        <f t="shared" si="1"/>
        <v>082236984596</v>
      </c>
      <c r="L593" s="6" t="str">
        <f>IFERROR(
VLOOKUP(
TRIM(
IF(ISNUMBER(FIND(",",E593)),
LEFT(E593,FIND(",",E593)-1),
E593
)
),
master!A:B,
2,
FALSE
),
"Belum ada mapping"
)
</f>
        <v>Nusa Tenggara Timur</v>
      </c>
      <c r="M593" s="6">
        <f>IFERROR(__xludf.DUMMYFUNCTION("IF(REGEXMATCH(I593,""Cari Kerja""),1,0)
"),1.0)</f>
        <v>1</v>
      </c>
      <c r="N593" s="6">
        <f>IFERROR(__xludf.DUMMYFUNCTION("IF(REGEXMATCH(I593,""Upskill""),1,0)
"),1.0)</f>
        <v>1</v>
      </c>
      <c r="O593" s="6">
        <f>IFERROR(__xludf.DUMMYFUNCTION("IF(REGEXMATCH(I593,""Networking""),1,0)
"),1.0)</f>
        <v>1</v>
      </c>
      <c r="P593" s="6">
        <f>IFERROR(__xludf.DUMMYFUNCTION("IF(REGEXMATCH(I593,""Switch Career""),1,0)
"),1.0)</f>
        <v>1</v>
      </c>
    </row>
    <row r="594" ht="22.5" customHeight="1">
      <c r="A594" s="3">
        <v>46044.508802372686</v>
      </c>
      <c r="B594" s="5" t="s">
        <v>2474</v>
      </c>
      <c r="C594" s="5" t="s">
        <v>2475</v>
      </c>
      <c r="D594" s="4" t="s">
        <v>2476</v>
      </c>
      <c r="E594" s="5" t="s">
        <v>457</v>
      </c>
      <c r="F594" s="5" t="s">
        <v>20</v>
      </c>
      <c r="G594" s="5" t="s">
        <v>69</v>
      </c>
      <c r="H594" s="5" t="s">
        <v>51</v>
      </c>
      <c r="I594" s="5" t="s">
        <v>31</v>
      </c>
      <c r="J594" s="5" t="s">
        <v>38</v>
      </c>
      <c r="K594" s="6" t="str">
        <f t="shared" si="1"/>
        <v>087799006268</v>
      </c>
      <c r="L594" s="6" t="str">
        <f>IFERROR(
VLOOKUP(
TRIM(
IF(ISNUMBER(FIND(",",E594)),
LEFT(E594,FIND(",",E594)-1),
E594
)
),
master!A:B,
2,
FALSE
),
"Belum ada mapping"
)
</f>
        <v>Lampung</v>
      </c>
      <c r="M594" s="6">
        <f>IFERROR(__xludf.DUMMYFUNCTION("IF(REGEXMATCH(I594,""Cari Kerja""),1,0)
"),1.0)</f>
        <v>1</v>
      </c>
      <c r="N594" s="6">
        <f>IFERROR(__xludf.DUMMYFUNCTION("IF(REGEXMATCH(I594,""Upskill""),1,0)
"),1.0)</f>
        <v>1</v>
      </c>
      <c r="O594" s="6">
        <f>IFERROR(__xludf.DUMMYFUNCTION("IF(REGEXMATCH(I594,""Networking""),1,0)
"),1.0)</f>
        <v>1</v>
      </c>
      <c r="P594" s="6">
        <f>IFERROR(__xludf.DUMMYFUNCTION("IF(REGEXMATCH(I594,""Switch Career""),1,0)
"),1.0)</f>
        <v>1</v>
      </c>
    </row>
    <row r="595" ht="22.5" customHeight="1">
      <c r="A595" s="3">
        <v>46042.74507539352</v>
      </c>
      <c r="B595" s="5" t="s">
        <v>2477</v>
      </c>
      <c r="C595" s="5" t="s">
        <v>2478</v>
      </c>
      <c r="D595" s="4" t="s">
        <v>2479</v>
      </c>
      <c r="E595" s="5" t="s">
        <v>28</v>
      </c>
      <c r="F595" s="5" t="s">
        <v>20</v>
      </c>
      <c r="G595" s="5" t="s">
        <v>720</v>
      </c>
      <c r="H595" s="5" t="s">
        <v>187</v>
      </c>
      <c r="I595" s="5" t="s">
        <v>31</v>
      </c>
      <c r="J595" s="5" t="s">
        <v>24</v>
      </c>
      <c r="K595" s="6" t="str">
        <f t="shared" si="1"/>
        <v>082286481817</v>
      </c>
      <c r="L595" s="6" t="str">
        <f>IFERROR(
VLOOKUP(
TRIM(
IF(ISNUMBER(FIND(",",E595)),
LEFT(E595,FIND(",",E595)-1),
E595
)
),
master!A:B,
2,
FALSE
),
"Belum ada mapping"
)
</f>
        <v>Sumatera Barat</v>
      </c>
      <c r="M595" s="6">
        <f>IFERROR(__xludf.DUMMYFUNCTION("IF(REGEXMATCH(I595,""Cari Kerja""),1,0)
"),1.0)</f>
        <v>1</v>
      </c>
      <c r="N595" s="6">
        <f>IFERROR(__xludf.DUMMYFUNCTION("IF(REGEXMATCH(I595,""Upskill""),1,0)
"),1.0)</f>
        <v>1</v>
      </c>
      <c r="O595" s="6">
        <f>IFERROR(__xludf.DUMMYFUNCTION("IF(REGEXMATCH(I595,""Networking""),1,0)
"),1.0)</f>
        <v>1</v>
      </c>
      <c r="P595" s="6">
        <f>IFERROR(__xludf.DUMMYFUNCTION("IF(REGEXMATCH(I595,""Switch Career""),1,0)
"),1.0)</f>
        <v>1</v>
      </c>
    </row>
    <row r="596" ht="22.5" customHeight="1">
      <c r="A596" s="7">
        <v>46040.67447449074</v>
      </c>
      <c r="B596" s="8" t="s">
        <v>2480</v>
      </c>
      <c r="C596" s="8" t="s">
        <v>2481</v>
      </c>
      <c r="D596" s="9" t="s">
        <v>2482</v>
      </c>
      <c r="E596" s="8" t="s">
        <v>461</v>
      </c>
      <c r="F596" s="8" t="s">
        <v>20</v>
      </c>
      <c r="G596" s="8" t="s">
        <v>2483</v>
      </c>
      <c r="H596" s="8" t="s">
        <v>176</v>
      </c>
      <c r="I596" s="8" t="s">
        <v>13</v>
      </c>
      <c r="J596" s="8" t="s">
        <v>24</v>
      </c>
      <c r="K596" s="6" t="str">
        <f t="shared" si="1"/>
        <v>083167020035</v>
      </c>
      <c r="L596" s="6" t="str">
        <f>IFERROR(
VLOOKUP(
TRIM(
IF(ISNUMBER(FIND(",",E596)),
LEFT(E596,FIND(",",E596)-1),
E596
)
),
master!A:B,
2,
FALSE
),
"Belum ada mapping"
)
</f>
        <v>Jakarta</v>
      </c>
      <c r="M596" s="6">
        <f>IFERROR(__xludf.DUMMYFUNCTION("IF(REGEXMATCH(I596,""Cari Kerja""),1,0)
"),0.0)</f>
        <v>0</v>
      </c>
      <c r="N596" s="6">
        <f>IFERROR(__xludf.DUMMYFUNCTION("IF(REGEXMATCH(I596,""Upskill""),1,0)
"),1.0)</f>
        <v>1</v>
      </c>
      <c r="O596" s="6">
        <f>IFERROR(__xludf.DUMMYFUNCTION("IF(REGEXMATCH(I596,""Networking""),1,0)
"),0.0)</f>
        <v>0</v>
      </c>
      <c r="P596" s="6">
        <f>IFERROR(__xludf.DUMMYFUNCTION("IF(REGEXMATCH(I596,""Switch Career""),1,0)
"),0.0)</f>
        <v>0</v>
      </c>
    </row>
    <row r="597" ht="22.5" customHeight="1">
      <c r="A597" s="7">
        <v>46040.41295158565</v>
      </c>
      <c r="B597" s="8" t="s">
        <v>2484</v>
      </c>
      <c r="C597" s="8" t="s">
        <v>2485</v>
      </c>
      <c r="D597" s="9" t="s">
        <v>2486</v>
      </c>
      <c r="E597" s="8" t="s">
        <v>596</v>
      </c>
      <c r="F597" s="8" t="s">
        <v>20</v>
      </c>
      <c r="G597" s="8" t="s">
        <v>2487</v>
      </c>
      <c r="H597" s="8" t="s">
        <v>2158</v>
      </c>
      <c r="I597" s="8" t="s">
        <v>31</v>
      </c>
      <c r="J597" s="8" t="s">
        <v>38</v>
      </c>
      <c r="K597" s="6" t="str">
        <f t="shared" si="1"/>
        <v>081252004692</v>
      </c>
      <c r="L597" s="6" t="str">
        <f>IFERROR(
VLOOKUP(
TRIM(
IF(ISNUMBER(FIND(",",E597)),
LEFT(E597,FIND(",",E597)-1),
E597
)
),
master!A:B,
2,
FALSE
),
"Belum ada mapping"
)
</f>
        <v>Jawa Timur</v>
      </c>
      <c r="M597" s="6">
        <f>IFERROR(__xludf.DUMMYFUNCTION("IF(REGEXMATCH(I597,""Cari Kerja""),1,0)
"),1.0)</f>
        <v>1</v>
      </c>
      <c r="N597" s="6">
        <f>IFERROR(__xludf.DUMMYFUNCTION("IF(REGEXMATCH(I597,""Upskill""),1,0)
"),1.0)</f>
        <v>1</v>
      </c>
      <c r="O597" s="6">
        <f>IFERROR(__xludf.DUMMYFUNCTION("IF(REGEXMATCH(I597,""Networking""),1,0)
"),1.0)</f>
        <v>1</v>
      </c>
      <c r="P597" s="6">
        <f>IFERROR(__xludf.DUMMYFUNCTION("IF(REGEXMATCH(I597,""Switch Career""),1,0)
"),1.0)</f>
        <v>1</v>
      </c>
    </row>
    <row r="598" ht="22.5" customHeight="1">
      <c r="A598" s="7">
        <v>46040.56575893519</v>
      </c>
      <c r="B598" s="8" t="s">
        <v>2488</v>
      </c>
      <c r="C598" s="8" t="s">
        <v>2489</v>
      </c>
      <c r="D598" s="9" t="s">
        <v>2490</v>
      </c>
      <c r="E598" s="8" t="s">
        <v>2491</v>
      </c>
      <c r="F598" s="8" t="s">
        <v>49</v>
      </c>
      <c r="G598" s="8" t="s">
        <v>69</v>
      </c>
      <c r="H598" s="8" t="s">
        <v>1412</v>
      </c>
      <c r="I598" s="8" t="s">
        <v>23</v>
      </c>
      <c r="J598" s="8" t="s">
        <v>24</v>
      </c>
      <c r="K598" s="6" t="str">
        <f t="shared" si="1"/>
        <v>081317519722</v>
      </c>
      <c r="L598" s="6" t="str">
        <f>IFERROR(
VLOOKUP(
TRIM(
IF(ISNUMBER(FIND(",",E598)),
LEFT(E598,FIND(",",E598)-1),
E598
)
),
master!A:B,
2,
FALSE
),
"Belum ada mapping"
)
</f>
        <v>Jawa Barat</v>
      </c>
      <c r="M598" s="6">
        <f>IFERROR(__xludf.DUMMYFUNCTION("IF(REGEXMATCH(I598,""Cari Kerja""),1,0)
"),1.0)</f>
        <v>1</v>
      </c>
      <c r="N598" s="6">
        <f>IFERROR(__xludf.DUMMYFUNCTION("IF(REGEXMATCH(I598,""Upskill""),1,0)
"),1.0)</f>
        <v>1</v>
      </c>
      <c r="O598" s="6">
        <f>IFERROR(__xludf.DUMMYFUNCTION("IF(REGEXMATCH(I598,""Networking""),1,0)
"),1.0)</f>
        <v>1</v>
      </c>
      <c r="P598" s="6">
        <f>IFERROR(__xludf.DUMMYFUNCTION("IF(REGEXMATCH(I598,""Switch Career""),1,0)
"),0.0)</f>
        <v>0</v>
      </c>
    </row>
    <row r="599" ht="22.5" customHeight="1">
      <c r="A599" s="3">
        <v>46048.927069004625</v>
      </c>
      <c r="B599" s="5" t="s">
        <v>2492</v>
      </c>
      <c r="C599" s="5" t="s">
        <v>2493</v>
      </c>
      <c r="D599" s="4" t="s">
        <v>2494</v>
      </c>
      <c r="E599" s="5" t="s">
        <v>2495</v>
      </c>
      <c r="F599" s="5" t="s">
        <v>20</v>
      </c>
      <c r="G599" s="5" t="s">
        <v>2496</v>
      </c>
      <c r="H599" s="5" t="s">
        <v>51</v>
      </c>
      <c r="I599" s="5" t="s">
        <v>31</v>
      </c>
      <c r="J599" s="5" t="s">
        <v>24</v>
      </c>
      <c r="K599" s="6" t="str">
        <f t="shared" si="1"/>
        <v>089627960917</v>
      </c>
      <c r="L599" s="6" t="str">
        <f>IFERROR(
VLOOKUP(
TRIM(
IF(ISNUMBER(FIND(",",E599)),
LEFT(E599,FIND(",",E599)-1),
E599
)
),
master!A:B,
2,
FALSE
),
"Belum ada mapping"
)
</f>
        <v>Sumatera Barat</v>
      </c>
      <c r="M599" s="6">
        <f>IFERROR(__xludf.DUMMYFUNCTION("IF(REGEXMATCH(I599,""Cari Kerja""),1,0)
"),1.0)</f>
        <v>1</v>
      </c>
      <c r="N599" s="6">
        <f>IFERROR(__xludf.DUMMYFUNCTION("IF(REGEXMATCH(I599,""Upskill""),1,0)
"),1.0)</f>
        <v>1</v>
      </c>
      <c r="O599" s="6">
        <f>IFERROR(__xludf.DUMMYFUNCTION("IF(REGEXMATCH(I599,""Networking""),1,0)
"),1.0)</f>
        <v>1</v>
      </c>
      <c r="P599" s="6">
        <f>IFERROR(__xludf.DUMMYFUNCTION("IF(REGEXMATCH(I599,""Switch Career""),1,0)
"),1.0)</f>
        <v>1</v>
      </c>
    </row>
    <row r="600" ht="22.5" customHeight="1">
      <c r="A600" s="3">
        <v>46048.60517256944</v>
      </c>
      <c r="B600" s="5" t="s">
        <v>2497</v>
      </c>
      <c r="C600" s="5" t="s">
        <v>2498</v>
      </c>
      <c r="D600" s="4" t="s">
        <v>2499</v>
      </c>
      <c r="E600" s="5" t="s">
        <v>207</v>
      </c>
      <c r="F600" s="5" t="s">
        <v>49</v>
      </c>
      <c r="G600" s="5" t="s">
        <v>2500</v>
      </c>
      <c r="H600" s="5" t="s">
        <v>225</v>
      </c>
      <c r="I600" s="5" t="s">
        <v>59</v>
      </c>
      <c r="J600" s="5" t="s">
        <v>24</v>
      </c>
      <c r="K600" s="6" t="str">
        <f t="shared" si="1"/>
        <v>088218145152</v>
      </c>
      <c r="L600" s="6" t="str">
        <f>IFERROR(
VLOOKUP(
TRIM(
IF(ISNUMBER(FIND(",",E600)),
LEFT(E600,FIND(",",E600)-1),
E600
)
),
master!A:B,
2,
FALSE
),
"Belum ada mapping"
)
</f>
        <v>Jakarta</v>
      </c>
      <c r="M600" s="6">
        <f>IFERROR(__xludf.DUMMYFUNCTION("IF(REGEXMATCH(I600,""Cari Kerja""),1,0)
"),0.0)</f>
        <v>0</v>
      </c>
      <c r="N600" s="6">
        <f>IFERROR(__xludf.DUMMYFUNCTION("IF(REGEXMATCH(I600,""Upskill""),1,0)
"),1.0)</f>
        <v>1</v>
      </c>
      <c r="O600" s="6">
        <f>IFERROR(__xludf.DUMMYFUNCTION("IF(REGEXMATCH(I600,""Networking""),1,0)
"),1.0)</f>
        <v>1</v>
      </c>
      <c r="P600" s="6">
        <f>IFERROR(__xludf.DUMMYFUNCTION("IF(REGEXMATCH(I600,""Switch Career""),1,0)
"),0.0)</f>
        <v>0</v>
      </c>
    </row>
    <row r="601" ht="22.5" customHeight="1">
      <c r="A601" s="7">
        <v>46040.34811194445</v>
      </c>
      <c r="B601" s="8" t="s">
        <v>2501</v>
      </c>
      <c r="C601" s="8" t="s">
        <v>2502</v>
      </c>
      <c r="D601" s="9" t="s">
        <v>2503</v>
      </c>
      <c r="E601" s="8" t="s">
        <v>92</v>
      </c>
      <c r="F601" s="8" t="s">
        <v>49</v>
      </c>
      <c r="G601" s="8" t="s">
        <v>69</v>
      </c>
      <c r="H601" s="8" t="s">
        <v>51</v>
      </c>
      <c r="I601" s="8" t="s">
        <v>31</v>
      </c>
      <c r="J601" s="8" t="s">
        <v>24</v>
      </c>
      <c r="K601" s="6" t="str">
        <f t="shared" si="1"/>
        <v>085172416640</v>
      </c>
      <c r="L601" s="6" t="str">
        <f>IFERROR(
VLOOKUP(
TRIM(
IF(ISNUMBER(FIND(",",E601)),
LEFT(E601,FIND(",",E601)-1),
E601
)
),
master!A:B,
2,
FALSE
),
"Belum ada mapping"
)
</f>
        <v>Jawa Barat</v>
      </c>
      <c r="M601" s="6">
        <f>IFERROR(__xludf.DUMMYFUNCTION("IF(REGEXMATCH(I601,""Cari Kerja""),1,0)
"),1.0)</f>
        <v>1</v>
      </c>
      <c r="N601" s="6">
        <f>IFERROR(__xludf.DUMMYFUNCTION("IF(REGEXMATCH(I601,""Upskill""),1,0)
"),1.0)</f>
        <v>1</v>
      </c>
      <c r="O601" s="6">
        <f>IFERROR(__xludf.DUMMYFUNCTION("IF(REGEXMATCH(I601,""Networking""),1,0)
"),1.0)</f>
        <v>1</v>
      </c>
      <c r="P601" s="6">
        <f>IFERROR(__xludf.DUMMYFUNCTION("IF(REGEXMATCH(I601,""Switch Career""),1,0)
"),1.0)</f>
        <v>1</v>
      </c>
    </row>
    <row r="602" ht="22.5" customHeight="1">
      <c r="A602" s="7">
        <v>46040.41219488426</v>
      </c>
      <c r="B602" s="8" t="s">
        <v>2504</v>
      </c>
      <c r="C602" s="8" t="s">
        <v>2505</v>
      </c>
      <c r="D602" s="9" t="s">
        <v>2506</v>
      </c>
      <c r="E602" s="8" t="s">
        <v>2507</v>
      </c>
      <c r="F602" s="8" t="s">
        <v>20</v>
      </c>
      <c r="G602" s="8" t="s">
        <v>2508</v>
      </c>
      <c r="H602" s="8" t="s">
        <v>51</v>
      </c>
      <c r="I602" s="8" t="s">
        <v>31</v>
      </c>
      <c r="J602" s="8" t="s">
        <v>24</v>
      </c>
      <c r="K602" s="6" t="str">
        <f t="shared" si="1"/>
        <v>089525423475</v>
      </c>
      <c r="L602" s="6" t="str">
        <f>IFERROR(
VLOOKUP(
TRIM(
IF(ISNUMBER(FIND(",",E602)),
LEFT(E602,FIND(",",E602)-1),
E602
)
),
master!A:B,
2,
FALSE
),
"Belum ada mapping"
)
</f>
        <v>Jawa Tengah</v>
      </c>
      <c r="M602" s="6">
        <f>IFERROR(__xludf.DUMMYFUNCTION("IF(REGEXMATCH(I602,""Cari Kerja""),1,0)
"),1.0)</f>
        <v>1</v>
      </c>
      <c r="N602" s="6">
        <f>IFERROR(__xludf.DUMMYFUNCTION("IF(REGEXMATCH(I602,""Upskill""),1,0)
"),1.0)</f>
        <v>1</v>
      </c>
      <c r="O602" s="6">
        <f>IFERROR(__xludf.DUMMYFUNCTION("IF(REGEXMATCH(I602,""Networking""),1,0)
"),1.0)</f>
        <v>1</v>
      </c>
      <c r="P602" s="6">
        <f>IFERROR(__xludf.DUMMYFUNCTION("IF(REGEXMATCH(I602,""Switch Career""),1,0)
"),1.0)</f>
        <v>1</v>
      </c>
    </row>
    <row r="603" ht="22.5" customHeight="1">
      <c r="A603" s="3">
        <v>46046.53500700231</v>
      </c>
      <c r="B603" s="5" t="s">
        <v>2509</v>
      </c>
      <c r="C603" s="5" t="s">
        <v>2510</v>
      </c>
      <c r="D603" s="4" t="s">
        <v>2511</v>
      </c>
      <c r="E603" s="5" t="s">
        <v>42</v>
      </c>
      <c r="F603" s="5" t="s">
        <v>49</v>
      </c>
      <c r="G603" s="5" t="s">
        <v>2512</v>
      </c>
      <c r="H603" s="5" t="s">
        <v>346</v>
      </c>
      <c r="I603" s="5" t="s">
        <v>59</v>
      </c>
      <c r="J603" s="5" t="s">
        <v>24</v>
      </c>
      <c r="K603" s="6" t="str">
        <f t="shared" si="1"/>
        <v>085176767172</v>
      </c>
      <c r="L603" s="6" t="str">
        <f>IFERROR(
VLOOKUP(
TRIM(
IF(ISNUMBER(FIND(",",E603)),
LEFT(E603,FIND(",",E603)-1),
E603
)
),
master!A:B,
2,
FALSE
),
"Belum ada mapping"
)
</f>
        <v>Jawa Barat</v>
      </c>
      <c r="M603" s="6">
        <f>IFERROR(__xludf.DUMMYFUNCTION("IF(REGEXMATCH(I603,""Cari Kerja""),1,0)
"),0.0)</f>
        <v>0</v>
      </c>
      <c r="N603" s="6">
        <f>IFERROR(__xludf.DUMMYFUNCTION("IF(REGEXMATCH(I603,""Upskill""),1,0)
"),1.0)</f>
        <v>1</v>
      </c>
      <c r="O603" s="6">
        <f>IFERROR(__xludf.DUMMYFUNCTION("IF(REGEXMATCH(I603,""Networking""),1,0)
"),1.0)</f>
        <v>1</v>
      </c>
      <c r="P603" s="6">
        <f>IFERROR(__xludf.DUMMYFUNCTION("IF(REGEXMATCH(I603,""Switch Career""),1,0)
"),0.0)</f>
        <v>0</v>
      </c>
    </row>
    <row r="604" ht="22.5" customHeight="1">
      <c r="A604" s="7">
        <v>46040.426047002315</v>
      </c>
      <c r="B604" s="8" t="s">
        <v>2513</v>
      </c>
      <c r="C604" s="8" t="s">
        <v>2514</v>
      </c>
      <c r="D604" s="9" t="s">
        <v>2515</v>
      </c>
      <c r="E604" s="8" t="s">
        <v>2491</v>
      </c>
      <c r="F604" s="8" t="s">
        <v>20</v>
      </c>
      <c r="G604" s="8" t="s">
        <v>21</v>
      </c>
      <c r="H604" s="8" t="s">
        <v>51</v>
      </c>
      <c r="I604" s="8" t="s">
        <v>31</v>
      </c>
      <c r="J604" s="8" t="s">
        <v>24</v>
      </c>
      <c r="K604" s="6" t="str">
        <f t="shared" si="1"/>
        <v>082130607216</v>
      </c>
      <c r="L604" s="6" t="str">
        <f>IFERROR(
VLOOKUP(
TRIM(
IF(ISNUMBER(FIND(",",E604)),
LEFT(E604,FIND(",",E604)-1),
E604
)
),
master!A:B,
2,
FALSE
),
"Belum ada mapping"
)
</f>
        <v>Jawa Barat</v>
      </c>
      <c r="M604" s="6">
        <f>IFERROR(__xludf.DUMMYFUNCTION("IF(REGEXMATCH(I604,""Cari Kerja""),1,0)
"),1.0)</f>
        <v>1</v>
      </c>
      <c r="N604" s="6">
        <f>IFERROR(__xludf.DUMMYFUNCTION("IF(REGEXMATCH(I604,""Upskill""),1,0)
"),1.0)</f>
        <v>1</v>
      </c>
      <c r="O604" s="6">
        <f>IFERROR(__xludf.DUMMYFUNCTION("IF(REGEXMATCH(I604,""Networking""),1,0)
"),1.0)</f>
        <v>1</v>
      </c>
      <c r="P604" s="6">
        <f>IFERROR(__xludf.DUMMYFUNCTION("IF(REGEXMATCH(I604,""Switch Career""),1,0)
"),1.0)</f>
        <v>1</v>
      </c>
    </row>
    <row r="605" ht="22.5" customHeight="1">
      <c r="A605" s="3">
        <v>46046.54247480324</v>
      </c>
      <c r="B605" s="5" t="s">
        <v>2516</v>
      </c>
      <c r="C605" s="5" t="s">
        <v>2517</v>
      </c>
      <c r="D605" s="4" t="s">
        <v>2518</v>
      </c>
      <c r="E605" s="5" t="s">
        <v>174</v>
      </c>
      <c r="F605" s="5" t="s">
        <v>20</v>
      </c>
      <c r="G605" s="5" t="s">
        <v>2519</v>
      </c>
      <c r="H605" s="5" t="s">
        <v>198</v>
      </c>
      <c r="I605" s="5" t="s">
        <v>59</v>
      </c>
      <c r="J605" s="5" t="s">
        <v>24</v>
      </c>
      <c r="K605" s="6" t="str">
        <f t="shared" si="1"/>
        <v>0895709161070</v>
      </c>
      <c r="L605" s="6" t="str">
        <f>IFERROR(
VLOOKUP(
TRIM(
IF(ISNUMBER(FIND(",",E605)),
LEFT(E605,FIND(",",E605)-1),
E605
)
),
master!A:B,
2,
FALSE
),
"Belum ada mapping"
)
</f>
        <v>Jawa Timur</v>
      </c>
      <c r="M605" s="6">
        <f>IFERROR(__xludf.DUMMYFUNCTION("IF(REGEXMATCH(I605,""Cari Kerja""),1,0)
"),0.0)</f>
        <v>0</v>
      </c>
      <c r="N605" s="6">
        <f>IFERROR(__xludf.DUMMYFUNCTION("IF(REGEXMATCH(I605,""Upskill""),1,0)
"),1.0)</f>
        <v>1</v>
      </c>
      <c r="O605" s="6">
        <f>IFERROR(__xludf.DUMMYFUNCTION("IF(REGEXMATCH(I605,""Networking""),1,0)
"),1.0)</f>
        <v>1</v>
      </c>
      <c r="P605" s="6">
        <f>IFERROR(__xludf.DUMMYFUNCTION("IF(REGEXMATCH(I605,""Switch Career""),1,0)
"),0.0)</f>
        <v>0</v>
      </c>
    </row>
    <row r="606" ht="22.5" customHeight="1">
      <c r="A606" s="3">
        <v>46048.527334363425</v>
      </c>
      <c r="B606" s="5" t="s">
        <v>2520</v>
      </c>
      <c r="C606" s="5" t="s">
        <v>2521</v>
      </c>
      <c r="D606" s="4" t="s">
        <v>2522</v>
      </c>
      <c r="E606" s="5" t="s">
        <v>1625</v>
      </c>
      <c r="F606" s="5" t="s">
        <v>20</v>
      </c>
      <c r="G606" s="5" t="s">
        <v>2523</v>
      </c>
      <c r="H606" s="5" t="s">
        <v>51</v>
      </c>
      <c r="I606" s="5" t="s">
        <v>130</v>
      </c>
      <c r="J606" s="5" t="s">
        <v>24</v>
      </c>
      <c r="K606" s="6" t="str">
        <f t="shared" si="1"/>
        <v>081254563004</v>
      </c>
      <c r="L606" s="6" t="str">
        <f>IFERROR(
VLOOKUP(
TRIM(
IF(ISNUMBER(FIND(",",E606)),
LEFT(E606,FIND(",",E606)-1),
E606
)
),
master!A:B,
2,
FALSE
),
"Belum ada mapping"
)
</f>
        <v>Kalimantan Timur</v>
      </c>
      <c r="M606" s="6">
        <f>IFERROR(__xludf.DUMMYFUNCTION("IF(REGEXMATCH(I606,""Cari Kerja""),1,0)
"),1.0)</f>
        <v>1</v>
      </c>
      <c r="N606" s="6">
        <f>IFERROR(__xludf.DUMMYFUNCTION("IF(REGEXMATCH(I606,""Upskill""),1,0)
"),1.0)</f>
        <v>1</v>
      </c>
      <c r="O606" s="6">
        <f>IFERROR(__xludf.DUMMYFUNCTION("IF(REGEXMATCH(I606,""Networking""),1,0)
"),0.0)</f>
        <v>0</v>
      </c>
      <c r="P606" s="6">
        <f>IFERROR(__xludf.DUMMYFUNCTION("IF(REGEXMATCH(I606,""Switch Career""),1,0)
"),0.0)</f>
        <v>0</v>
      </c>
    </row>
    <row r="607" ht="22.5" customHeight="1">
      <c r="A607" s="3">
        <v>46046.740626388884</v>
      </c>
      <c r="B607" s="5" t="s">
        <v>2524</v>
      </c>
      <c r="C607" s="5" t="s">
        <v>2525</v>
      </c>
      <c r="D607" s="4" t="s">
        <v>2526</v>
      </c>
      <c r="E607" s="5" t="s">
        <v>92</v>
      </c>
      <c r="F607" s="5" t="s">
        <v>20</v>
      </c>
      <c r="G607" s="5" t="s">
        <v>2527</v>
      </c>
      <c r="H607" s="5" t="s">
        <v>51</v>
      </c>
      <c r="I607" s="5" t="s">
        <v>23</v>
      </c>
      <c r="J607" s="5" t="s">
        <v>24</v>
      </c>
      <c r="K607" s="6" t="str">
        <f t="shared" si="1"/>
        <v>088976636754</v>
      </c>
      <c r="L607" s="6" t="str">
        <f>IFERROR(
VLOOKUP(
TRIM(
IF(ISNUMBER(FIND(",",E607)),
LEFT(E607,FIND(",",E607)-1),
E607
)
),
master!A:B,
2,
FALSE
),
"Belum ada mapping"
)
</f>
        <v>Jawa Barat</v>
      </c>
      <c r="M607" s="6">
        <f>IFERROR(__xludf.DUMMYFUNCTION("IF(REGEXMATCH(I607,""Cari Kerja""),1,0)
"),1.0)</f>
        <v>1</v>
      </c>
      <c r="N607" s="6">
        <f>IFERROR(__xludf.DUMMYFUNCTION("IF(REGEXMATCH(I607,""Upskill""),1,0)
"),1.0)</f>
        <v>1</v>
      </c>
      <c r="O607" s="6">
        <f>IFERROR(__xludf.DUMMYFUNCTION("IF(REGEXMATCH(I607,""Networking""),1,0)
"),1.0)</f>
        <v>1</v>
      </c>
      <c r="P607" s="6">
        <f>IFERROR(__xludf.DUMMYFUNCTION("IF(REGEXMATCH(I607,""Switch Career""),1,0)
"),0.0)</f>
        <v>0</v>
      </c>
    </row>
    <row r="608" ht="22.5" customHeight="1">
      <c r="A608" s="3">
        <v>46042.63028193287</v>
      </c>
      <c r="B608" s="5" t="s">
        <v>2528</v>
      </c>
      <c r="C608" s="5" t="s">
        <v>2529</v>
      </c>
      <c r="D608" s="4" t="s">
        <v>2530</v>
      </c>
      <c r="E608" s="5" t="s">
        <v>2531</v>
      </c>
      <c r="F608" s="5" t="s">
        <v>49</v>
      </c>
      <c r="G608" s="5" t="s">
        <v>2532</v>
      </c>
      <c r="H608" s="5" t="s">
        <v>51</v>
      </c>
      <c r="I608" s="5" t="s">
        <v>52</v>
      </c>
      <c r="J608" s="5" t="s">
        <v>24</v>
      </c>
      <c r="K608" s="6" t="str">
        <f t="shared" si="1"/>
        <v>082384897272</v>
      </c>
      <c r="L608" s="6" t="str">
        <f>IFERROR(
VLOOKUP(
TRIM(
IF(ISNUMBER(FIND(",",E608)),
LEFT(E608,FIND(",",E608)-1),
E608
)
),
master!A:B,
2,
FALSE
),
"Belum ada mapping"
)
</f>
        <v>Riau</v>
      </c>
      <c r="M608" s="6">
        <f>IFERROR(__xludf.DUMMYFUNCTION("IF(REGEXMATCH(I608,""Cari Kerja""),1,0)
"),0.0)</f>
        <v>0</v>
      </c>
      <c r="N608" s="6">
        <f>IFERROR(__xludf.DUMMYFUNCTION("IF(REGEXMATCH(I608,""Upskill""),1,0)
"),1.0)</f>
        <v>1</v>
      </c>
      <c r="O608" s="6">
        <f>IFERROR(__xludf.DUMMYFUNCTION("IF(REGEXMATCH(I608,""Networking""),1,0)
"),1.0)</f>
        <v>1</v>
      </c>
      <c r="P608" s="6">
        <f>IFERROR(__xludf.DUMMYFUNCTION("IF(REGEXMATCH(I608,""Switch Career""),1,0)
"),1.0)</f>
        <v>1</v>
      </c>
    </row>
    <row r="609" ht="22.5" customHeight="1">
      <c r="A609" s="7">
        <v>46040.435181249995</v>
      </c>
      <c r="B609" s="8" t="s">
        <v>2533</v>
      </c>
      <c r="C609" s="8" t="s">
        <v>2534</v>
      </c>
      <c r="D609" s="9" t="s">
        <v>2535</v>
      </c>
      <c r="E609" s="8" t="s">
        <v>19</v>
      </c>
      <c r="F609" s="8" t="s">
        <v>49</v>
      </c>
      <c r="G609" s="8" t="s">
        <v>2536</v>
      </c>
      <c r="H609" s="8" t="s">
        <v>346</v>
      </c>
      <c r="I609" s="8" t="s">
        <v>31</v>
      </c>
      <c r="J609" s="8" t="s">
        <v>24</v>
      </c>
      <c r="K609" s="6" t="str">
        <f t="shared" si="1"/>
        <v>085870125872</v>
      </c>
      <c r="L609" s="6" t="str">
        <f>IFERROR(
VLOOKUP(
TRIM(
IF(ISNUMBER(FIND(",",E609)),
LEFT(E609,FIND(",",E609)-1),
E609
)
),
master!A:B,
2,
FALSE
),
"Belum ada mapping"
)
</f>
        <v>Jawa Tengah</v>
      </c>
      <c r="M609" s="6">
        <f>IFERROR(__xludf.DUMMYFUNCTION("IF(REGEXMATCH(I609,""Cari Kerja""),1,0)
"),1.0)</f>
        <v>1</v>
      </c>
      <c r="N609" s="6">
        <f>IFERROR(__xludf.DUMMYFUNCTION("IF(REGEXMATCH(I609,""Upskill""),1,0)
"),1.0)</f>
        <v>1</v>
      </c>
      <c r="O609" s="6">
        <f>IFERROR(__xludf.DUMMYFUNCTION("IF(REGEXMATCH(I609,""Networking""),1,0)
"),1.0)</f>
        <v>1</v>
      </c>
      <c r="P609" s="6">
        <f>IFERROR(__xludf.DUMMYFUNCTION("IF(REGEXMATCH(I609,""Switch Career""),1,0)
"),1.0)</f>
        <v>1</v>
      </c>
    </row>
    <row r="610" ht="22.5" customHeight="1">
      <c r="A610" s="3">
        <v>46042.55253935185</v>
      </c>
      <c r="B610" s="5" t="s">
        <v>2537</v>
      </c>
      <c r="C610" s="5" t="s">
        <v>2538</v>
      </c>
      <c r="D610" s="4" t="s">
        <v>2539</v>
      </c>
      <c r="E610" s="5" t="s">
        <v>1617</v>
      </c>
      <c r="F610" s="5" t="s">
        <v>20</v>
      </c>
      <c r="G610" s="5" t="s">
        <v>2540</v>
      </c>
      <c r="H610" s="5" t="s">
        <v>2541</v>
      </c>
      <c r="I610" s="5" t="s">
        <v>23</v>
      </c>
      <c r="J610" s="5" t="s">
        <v>24</v>
      </c>
      <c r="K610" s="6" t="str">
        <f t="shared" si="1"/>
        <v>0859148401823</v>
      </c>
      <c r="L610" s="6" t="str">
        <f>IFERROR(
VLOOKUP(
TRIM(
IF(ISNUMBER(FIND(",",E610)),
LEFT(E610,FIND(",",E610)-1),
E610
)
),
master!A:B,
2,
FALSE
),
"Belum ada mapping"
)
</f>
        <v>Jakarta</v>
      </c>
      <c r="M610" s="6">
        <f>IFERROR(__xludf.DUMMYFUNCTION("IF(REGEXMATCH(I610,""Cari Kerja""),1,0)
"),1.0)</f>
        <v>1</v>
      </c>
      <c r="N610" s="6">
        <f>IFERROR(__xludf.DUMMYFUNCTION("IF(REGEXMATCH(I610,""Upskill""),1,0)
"),1.0)</f>
        <v>1</v>
      </c>
      <c r="O610" s="6">
        <f>IFERROR(__xludf.DUMMYFUNCTION("IF(REGEXMATCH(I610,""Networking""),1,0)
"),1.0)</f>
        <v>1</v>
      </c>
      <c r="P610" s="6">
        <f>IFERROR(__xludf.DUMMYFUNCTION("IF(REGEXMATCH(I610,""Switch Career""),1,0)
"),0.0)</f>
        <v>0</v>
      </c>
    </row>
    <row r="611" ht="22.5" customHeight="1">
      <c r="A611" s="3">
        <v>46045.450095520835</v>
      </c>
      <c r="B611" s="5" t="s">
        <v>2542</v>
      </c>
      <c r="C611" s="5" t="s">
        <v>2543</v>
      </c>
      <c r="D611" s="4" t="s">
        <v>2544</v>
      </c>
      <c r="E611" s="5" t="s">
        <v>2545</v>
      </c>
      <c r="F611" s="5" t="s">
        <v>49</v>
      </c>
      <c r="G611" s="5" t="s">
        <v>2546</v>
      </c>
      <c r="H611" s="5" t="s">
        <v>391</v>
      </c>
      <c r="I611" s="5" t="s">
        <v>52</v>
      </c>
      <c r="J611" s="5" t="s">
        <v>24</v>
      </c>
      <c r="K611" s="6" t="str">
        <f t="shared" si="1"/>
        <v>089516739523</v>
      </c>
      <c r="L611" s="6" t="str">
        <f>IFERROR(
VLOOKUP(
TRIM(
IF(ISNUMBER(FIND(",",E611)),
LEFT(E611,FIND(",",E611)-1),
E611
)
),
master!A:B,
2,
FALSE
),
"Belum ada mapping"
)
</f>
        <v>Jawa Barat</v>
      </c>
      <c r="M611" s="6">
        <f>IFERROR(__xludf.DUMMYFUNCTION("IF(REGEXMATCH(I611,""Cari Kerja""),1,0)
"),0.0)</f>
        <v>0</v>
      </c>
      <c r="N611" s="6">
        <f>IFERROR(__xludf.DUMMYFUNCTION("IF(REGEXMATCH(I611,""Upskill""),1,0)
"),1.0)</f>
        <v>1</v>
      </c>
      <c r="O611" s="6">
        <f>IFERROR(__xludf.DUMMYFUNCTION("IF(REGEXMATCH(I611,""Networking""),1,0)
"),1.0)</f>
        <v>1</v>
      </c>
      <c r="P611" s="6">
        <f>IFERROR(__xludf.DUMMYFUNCTION("IF(REGEXMATCH(I611,""Switch Career""),1,0)
"),1.0)</f>
        <v>1</v>
      </c>
    </row>
    <row r="612" ht="22.5" customHeight="1">
      <c r="A612" s="3">
        <v>46046.274344375</v>
      </c>
      <c r="B612" s="5" t="s">
        <v>2547</v>
      </c>
      <c r="C612" s="5" t="s">
        <v>2548</v>
      </c>
      <c r="D612" s="4" t="s">
        <v>2549</v>
      </c>
      <c r="E612" s="5" t="s">
        <v>2550</v>
      </c>
      <c r="F612" s="5" t="s">
        <v>20</v>
      </c>
      <c r="G612" s="5" t="s">
        <v>213</v>
      </c>
      <c r="H612" s="5" t="s">
        <v>1958</v>
      </c>
      <c r="I612" s="5" t="s">
        <v>12</v>
      </c>
      <c r="J612" s="5" t="s">
        <v>76</v>
      </c>
      <c r="K612" s="6" t="str">
        <f t="shared" si="1"/>
        <v>08127219847</v>
      </c>
      <c r="L612" s="6" t="str">
        <f>IFERROR(
VLOOKUP(
TRIM(
IF(ISNUMBER(FIND(",",E612)),
LEFT(E612,FIND(",",E612)-1),
E612
)
),
master!A:B,
2,
FALSE
),
"Belum ada mapping"
)
</f>
        <v>Jambi</v>
      </c>
      <c r="M612" s="6">
        <f>IFERROR(__xludf.DUMMYFUNCTION("IF(REGEXMATCH(I612,""Cari Kerja""),1,0)
"),1.0)</f>
        <v>1</v>
      </c>
      <c r="N612" s="6">
        <f>IFERROR(__xludf.DUMMYFUNCTION("IF(REGEXMATCH(I612,""Upskill""),1,0)
"),0.0)</f>
        <v>0</v>
      </c>
      <c r="O612" s="6">
        <f>IFERROR(__xludf.DUMMYFUNCTION("IF(REGEXMATCH(I612,""Networking""),1,0)
"),0.0)</f>
        <v>0</v>
      </c>
      <c r="P612" s="6">
        <f>IFERROR(__xludf.DUMMYFUNCTION("IF(REGEXMATCH(I612,""Switch Career""),1,0)
"),0.0)</f>
        <v>0</v>
      </c>
    </row>
    <row r="613" ht="22.5" customHeight="1">
      <c r="A613" s="7">
        <v>46040.71401491898</v>
      </c>
      <c r="B613" s="8" t="s">
        <v>2551</v>
      </c>
      <c r="C613" s="8" t="s">
        <v>2552</v>
      </c>
      <c r="D613" s="9" t="s">
        <v>2553</v>
      </c>
      <c r="E613" s="8" t="s">
        <v>1710</v>
      </c>
      <c r="F613" s="8" t="s">
        <v>49</v>
      </c>
      <c r="G613" s="8" t="s">
        <v>2554</v>
      </c>
      <c r="H613" s="8" t="s">
        <v>51</v>
      </c>
      <c r="I613" s="8" t="s">
        <v>130</v>
      </c>
      <c r="J613" s="8" t="s">
        <v>24</v>
      </c>
      <c r="K613" s="6" t="str">
        <f t="shared" si="1"/>
        <v>085691418802</v>
      </c>
      <c r="L613" s="6" t="str">
        <f>IFERROR(
VLOOKUP(
TRIM(
IF(ISNUMBER(FIND(",",E613)),
LEFT(E613,FIND(",",E613)-1),
E613
)
),
master!A:B,
2,
FALSE
),
"Belum ada mapping"
)
</f>
        <v>DI Yogyakarta</v>
      </c>
      <c r="M613" s="6">
        <f>IFERROR(__xludf.DUMMYFUNCTION("IF(REGEXMATCH(I613,""Cari Kerja""),1,0)
"),1.0)</f>
        <v>1</v>
      </c>
      <c r="N613" s="6">
        <f>IFERROR(__xludf.DUMMYFUNCTION("IF(REGEXMATCH(I613,""Upskill""),1,0)
"),1.0)</f>
        <v>1</v>
      </c>
      <c r="O613" s="6">
        <f>IFERROR(__xludf.DUMMYFUNCTION("IF(REGEXMATCH(I613,""Networking""),1,0)
"),0.0)</f>
        <v>0</v>
      </c>
      <c r="P613" s="6">
        <f>IFERROR(__xludf.DUMMYFUNCTION("IF(REGEXMATCH(I613,""Switch Career""),1,0)
"),0.0)</f>
        <v>0</v>
      </c>
    </row>
    <row r="614" ht="22.5" customHeight="1">
      <c r="A614" s="3">
        <v>46042.41474663194</v>
      </c>
      <c r="B614" s="5" t="s">
        <v>2555</v>
      </c>
      <c r="C614" s="5" t="s">
        <v>2556</v>
      </c>
      <c r="D614" s="4" t="s">
        <v>2557</v>
      </c>
      <c r="E614" s="5" t="s">
        <v>452</v>
      </c>
      <c r="F614" s="5" t="s">
        <v>49</v>
      </c>
      <c r="G614" s="5" t="s">
        <v>2558</v>
      </c>
      <c r="H614" s="5" t="s">
        <v>51</v>
      </c>
      <c r="I614" s="5" t="s">
        <v>31</v>
      </c>
      <c r="J614" s="5" t="s">
        <v>38</v>
      </c>
      <c r="K614" s="6" t="str">
        <f t="shared" si="1"/>
        <v>085760511395</v>
      </c>
      <c r="L614" s="6" t="str">
        <f>IFERROR(
VLOOKUP(
TRIM(
IF(ISNUMBER(FIND(",",E614)),
LEFT(E614,FIND(",",E614)-1),
E614
)
),
master!A:B,
2,
FALSE
),
"Belum ada mapping"
)
</f>
        <v>Sumatera Selatan</v>
      </c>
      <c r="M614" s="6">
        <f>IFERROR(__xludf.DUMMYFUNCTION("IF(REGEXMATCH(I614,""Cari Kerja""),1,0)
"),1.0)</f>
        <v>1</v>
      </c>
      <c r="N614" s="6">
        <f>IFERROR(__xludf.DUMMYFUNCTION("IF(REGEXMATCH(I614,""Upskill""),1,0)
"),1.0)</f>
        <v>1</v>
      </c>
      <c r="O614" s="6">
        <f>IFERROR(__xludf.DUMMYFUNCTION("IF(REGEXMATCH(I614,""Networking""),1,0)
"),1.0)</f>
        <v>1</v>
      </c>
      <c r="P614" s="6">
        <f>IFERROR(__xludf.DUMMYFUNCTION("IF(REGEXMATCH(I614,""Switch Career""),1,0)
"),1.0)</f>
        <v>1</v>
      </c>
    </row>
    <row r="615" ht="22.5" customHeight="1">
      <c r="A615" s="7">
        <v>46040.35686605324</v>
      </c>
      <c r="B615" s="8" t="s">
        <v>2559</v>
      </c>
      <c r="C615" s="8" t="s">
        <v>2560</v>
      </c>
      <c r="D615" s="9" t="s">
        <v>2561</v>
      </c>
      <c r="E615" s="8" t="s">
        <v>504</v>
      </c>
      <c r="F615" s="8" t="s">
        <v>49</v>
      </c>
      <c r="G615" s="8" t="s">
        <v>2562</v>
      </c>
      <c r="H615" s="8" t="s">
        <v>51</v>
      </c>
      <c r="I615" s="8" t="s">
        <v>31</v>
      </c>
      <c r="J615" s="8" t="s">
        <v>24</v>
      </c>
      <c r="K615" s="6" t="str">
        <f t="shared" si="1"/>
        <v>081275856961</v>
      </c>
      <c r="L615" s="6" t="str">
        <f>IFERROR(
VLOOKUP(
TRIM(
IF(ISNUMBER(FIND(",",E615)),
LEFT(E615,FIND(",",E615)-1),
E615
)
),
master!A:B,
2,
FALSE
),
"Belum ada mapping"
)
</f>
        <v>Riau</v>
      </c>
      <c r="M615" s="6">
        <f>IFERROR(__xludf.DUMMYFUNCTION("IF(REGEXMATCH(I615,""Cari Kerja""),1,0)
"),1.0)</f>
        <v>1</v>
      </c>
      <c r="N615" s="6">
        <f>IFERROR(__xludf.DUMMYFUNCTION("IF(REGEXMATCH(I615,""Upskill""),1,0)
"),1.0)</f>
        <v>1</v>
      </c>
      <c r="O615" s="6">
        <f>IFERROR(__xludf.DUMMYFUNCTION("IF(REGEXMATCH(I615,""Networking""),1,0)
"),1.0)</f>
        <v>1</v>
      </c>
      <c r="P615" s="6">
        <f>IFERROR(__xludf.DUMMYFUNCTION("IF(REGEXMATCH(I615,""Switch Career""),1,0)
"),1.0)</f>
        <v>1</v>
      </c>
    </row>
    <row r="616" ht="22.5" customHeight="1">
      <c r="A616" s="7">
        <v>46041.41701472222</v>
      </c>
      <c r="B616" s="8" t="s">
        <v>2563</v>
      </c>
      <c r="C616" s="8" t="s">
        <v>2560</v>
      </c>
      <c r="D616" s="9" t="s">
        <v>2561</v>
      </c>
      <c r="E616" s="8" t="s">
        <v>504</v>
      </c>
      <c r="F616" s="8" t="s">
        <v>49</v>
      </c>
      <c r="G616" s="8" t="s">
        <v>2564</v>
      </c>
      <c r="H616" s="8" t="s">
        <v>51</v>
      </c>
      <c r="I616" s="8" t="s">
        <v>130</v>
      </c>
      <c r="J616" s="8" t="s">
        <v>24</v>
      </c>
      <c r="K616" s="6" t="str">
        <f t="shared" si="1"/>
        <v>081275856961</v>
      </c>
      <c r="L616" s="6" t="str">
        <f>IFERROR(
VLOOKUP(
TRIM(
IF(ISNUMBER(FIND(",",E616)),
LEFT(E616,FIND(",",E616)-1),
E616
)
),
master!A:B,
2,
FALSE
),
"Belum ada mapping"
)
</f>
        <v>Riau</v>
      </c>
      <c r="M616" s="6">
        <f>IFERROR(__xludf.DUMMYFUNCTION("IF(REGEXMATCH(I616,""Cari Kerja""),1,0)
"),1.0)</f>
        <v>1</v>
      </c>
      <c r="N616" s="6">
        <f>IFERROR(__xludf.DUMMYFUNCTION("IF(REGEXMATCH(I616,""Upskill""),1,0)
"),1.0)</f>
        <v>1</v>
      </c>
      <c r="O616" s="6">
        <f>IFERROR(__xludf.DUMMYFUNCTION("IF(REGEXMATCH(I616,""Networking""),1,0)
"),0.0)</f>
        <v>0</v>
      </c>
      <c r="P616" s="6">
        <f>IFERROR(__xludf.DUMMYFUNCTION("IF(REGEXMATCH(I616,""Switch Career""),1,0)
"),0.0)</f>
        <v>0</v>
      </c>
    </row>
    <row r="617" ht="22.5" customHeight="1">
      <c r="A617" s="3">
        <v>46057.504379861115</v>
      </c>
      <c r="B617" s="5" t="s">
        <v>2565</v>
      </c>
      <c r="C617" s="5" t="s">
        <v>2566</v>
      </c>
      <c r="D617" s="4" t="s">
        <v>2567</v>
      </c>
      <c r="E617" s="5" t="s">
        <v>551</v>
      </c>
      <c r="F617" s="5" t="s">
        <v>20</v>
      </c>
      <c r="G617" s="5" t="s">
        <v>21</v>
      </c>
      <c r="H617" s="5" t="s">
        <v>51</v>
      </c>
      <c r="I617" s="5" t="s">
        <v>23</v>
      </c>
      <c r="J617" s="5" t="s">
        <v>24</v>
      </c>
      <c r="K617" s="10" t="str">
        <f t="shared" si="1"/>
        <v>083153410795</v>
      </c>
      <c r="L617" s="10" t="str">
        <f>IFERROR(
VLOOKUP(
TRIM(
IF(ISNUMBER(FIND(",",E617)),
LEFT(E617,FIND(",",E617)-1),
E617
)
),
master!A:B,
2,
FALSE
),
"Belum ada mapping"
)
</f>
        <v>Jawa Barat</v>
      </c>
      <c r="M617" s="10">
        <f>IFERROR(__xludf.DUMMYFUNCTION("IF(REGEXMATCH(I617,""Cari Kerja""),1,0)
"),1.0)</f>
        <v>1</v>
      </c>
      <c r="N617" s="10">
        <f>IFERROR(__xludf.DUMMYFUNCTION("IF(REGEXMATCH(I617,""Upskill""),1,0)
"),1.0)</f>
        <v>1</v>
      </c>
      <c r="O617" s="10">
        <f>IFERROR(__xludf.DUMMYFUNCTION("IF(REGEXMATCH(I617,""Networking""),1,0)
"),1.0)</f>
        <v>1</v>
      </c>
      <c r="P617" s="10">
        <f>IFERROR(__xludf.DUMMYFUNCTION("IF(REGEXMATCH(I617,""Switch Career""),1,0)
"),0.0)</f>
        <v>0</v>
      </c>
    </row>
    <row r="618" ht="22.5" customHeight="1">
      <c r="A618" s="3">
        <v>46064.46489368056</v>
      </c>
      <c r="B618" s="5" t="s">
        <v>2568</v>
      </c>
      <c r="C618" s="5" t="s">
        <v>2569</v>
      </c>
      <c r="D618" s="4" t="s">
        <v>2570</v>
      </c>
      <c r="E618" s="5" t="s">
        <v>2571</v>
      </c>
      <c r="F618" s="5" t="s">
        <v>20</v>
      </c>
      <c r="G618" s="5" t="s">
        <v>2572</v>
      </c>
      <c r="H618" s="5" t="s">
        <v>37</v>
      </c>
      <c r="I618" s="5" t="s">
        <v>23</v>
      </c>
      <c r="J618" s="5" t="s">
        <v>24</v>
      </c>
      <c r="K618" s="10" t="str">
        <f t="shared" si="1"/>
        <v>085692390483</v>
      </c>
      <c r="L618" s="10" t="str">
        <f>IFERROR(
VLOOKUP(
TRIM(
IF(ISNUMBER(FIND(",",E618)),
LEFT(E618,FIND(",",E618)-1),
E618
)
),
master!A:B,
2,
FALSE
),
"Belum ada mapping"
)
</f>
        <v>Jawa Barat</v>
      </c>
      <c r="M618" s="10">
        <f>IFERROR(__xludf.DUMMYFUNCTION("IF(REGEXMATCH(I618,""Cari Kerja""),1,0)
"),1.0)</f>
        <v>1</v>
      </c>
      <c r="N618" s="10">
        <f>IFERROR(__xludf.DUMMYFUNCTION("IF(REGEXMATCH(I618,""Upskill""),1,0)
"),1.0)</f>
        <v>1</v>
      </c>
      <c r="O618" s="10">
        <f>IFERROR(__xludf.DUMMYFUNCTION("IF(REGEXMATCH(I618,""Networking""),1,0)
"),1.0)</f>
        <v>1</v>
      </c>
      <c r="P618" s="10">
        <f>IFERROR(__xludf.DUMMYFUNCTION("IF(REGEXMATCH(I618,""Switch Career""),1,0)
"),0.0)</f>
        <v>0</v>
      </c>
    </row>
    <row r="619" ht="22.5" customHeight="1">
      <c r="A619" s="7">
        <v>46041.39863725695</v>
      </c>
      <c r="B619" s="8" t="s">
        <v>2573</v>
      </c>
      <c r="C619" s="8" t="s">
        <v>2574</v>
      </c>
      <c r="D619" s="9" t="s">
        <v>2575</v>
      </c>
      <c r="E619" s="8" t="s">
        <v>122</v>
      </c>
      <c r="F619" s="8" t="s">
        <v>49</v>
      </c>
      <c r="G619" s="8" t="s">
        <v>2576</v>
      </c>
      <c r="H619" s="8" t="s">
        <v>2147</v>
      </c>
      <c r="I619" s="8" t="s">
        <v>15</v>
      </c>
      <c r="J619" s="8" t="s">
        <v>24</v>
      </c>
      <c r="K619" s="6" t="str">
        <f t="shared" si="1"/>
        <v>087841598662</v>
      </c>
      <c r="L619" s="6" t="str">
        <f>IFERROR(
VLOOKUP(
TRIM(
IF(ISNUMBER(FIND(",",E619)),
LEFT(E619,FIND(",",E619)-1),
E619
)
),
master!A:B,
2,
FALSE
),
"Belum ada mapping"
)
</f>
        <v>Sulawesi Selatan</v>
      </c>
      <c r="M619" s="6">
        <f>IFERROR(__xludf.DUMMYFUNCTION("IF(REGEXMATCH(I619,""Cari Kerja""),1,0)
"),0.0)</f>
        <v>0</v>
      </c>
      <c r="N619" s="6">
        <f>IFERROR(__xludf.DUMMYFUNCTION("IF(REGEXMATCH(I619,""Upskill""),1,0)
"),0.0)</f>
        <v>0</v>
      </c>
      <c r="O619" s="6">
        <f>IFERROR(__xludf.DUMMYFUNCTION("IF(REGEXMATCH(I619,""Networking""),1,0)
"),0.0)</f>
        <v>0</v>
      </c>
      <c r="P619" s="6">
        <f>IFERROR(__xludf.DUMMYFUNCTION("IF(REGEXMATCH(I619,""Switch Career""),1,0)
"),1.0)</f>
        <v>1</v>
      </c>
    </row>
    <row r="620" ht="22.5" customHeight="1">
      <c r="A620" s="7">
        <v>46040.41804583333</v>
      </c>
      <c r="B620" s="8" t="s">
        <v>2577</v>
      </c>
      <c r="C620" s="8" t="s">
        <v>2578</v>
      </c>
      <c r="D620" s="9" t="s">
        <v>2579</v>
      </c>
      <c r="E620" s="8" t="s">
        <v>97</v>
      </c>
      <c r="F620" s="8" t="s">
        <v>49</v>
      </c>
      <c r="G620" s="8" t="s">
        <v>229</v>
      </c>
      <c r="H620" s="8" t="s">
        <v>30</v>
      </c>
      <c r="I620" s="8" t="s">
        <v>31</v>
      </c>
      <c r="J620" s="8" t="s">
        <v>24</v>
      </c>
      <c r="K620" s="6" t="str">
        <f t="shared" si="1"/>
        <v>081386173641</v>
      </c>
      <c r="L620" s="6" t="str">
        <f>IFERROR(
VLOOKUP(
TRIM(
IF(ISNUMBER(FIND(",",E620)),
LEFT(E620,FIND(",",E620)-1),
E620
)
),
master!A:B,
2,
FALSE
),
"Belum ada mapping"
)
</f>
        <v>Jakarta</v>
      </c>
      <c r="M620" s="6">
        <f>IFERROR(__xludf.DUMMYFUNCTION("IF(REGEXMATCH(I620,""Cari Kerja""),1,0)
"),1.0)</f>
        <v>1</v>
      </c>
      <c r="N620" s="6">
        <f>IFERROR(__xludf.DUMMYFUNCTION("IF(REGEXMATCH(I620,""Upskill""),1,0)
"),1.0)</f>
        <v>1</v>
      </c>
      <c r="O620" s="6">
        <f>IFERROR(__xludf.DUMMYFUNCTION("IF(REGEXMATCH(I620,""Networking""),1,0)
"),1.0)</f>
        <v>1</v>
      </c>
      <c r="P620" s="6">
        <f>IFERROR(__xludf.DUMMYFUNCTION("IF(REGEXMATCH(I620,""Switch Career""),1,0)
"),1.0)</f>
        <v>1</v>
      </c>
    </row>
    <row r="621" ht="22.5" customHeight="1">
      <c r="A621" s="7">
        <v>46040.35819560185</v>
      </c>
      <c r="B621" s="8" t="s">
        <v>2580</v>
      </c>
      <c r="C621" s="8" t="s">
        <v>2581</v>
      </c>
      <c r="D621" s="9" t="s">
        <v>2582</v>
      </c>
      <c r="E621" s="8" t="s">
        <v>207</v>
      </c>
      <c r="F621" s="8" t="s">
        <v>49</v>
      </c>
      <c r="G621" s="8" t="s">
        <v>2583</v>
      </c>
      <c r="H621" s="8" t="s">
        <v>1456</v>
      </c>
      <c r="I621" s="8" t="s">
        <v>31</v>
      </c>
      <c r="J621" s="8" t="s">
        <v>24</v>
      </c>
      <c r="K621" s="6" t="str">
        <f t="shared" si="1"/>
        <v>085263299161</v>
      </c>
      <c r="L621" s="6" t="str">
        <f>IFERROR(
VLOOKUP(
TRIM(
IF(ISNUMBER(FIND(",",E621)),
LEFT(E621,FIND(",",E621)-1),
E621
)
),
master!A:B,
2,
FALSE
),
"Belum ada mapping"
)
</f>
        <v>Jakarta</v>
      </c>
      <c r="M621" s="6">
        <f>IFERROR(__xludf.DUMMYFUNCTION("IF(REGEXMATCH(I621,""Cari Kerja""),1,0)
"),1.0)</f>
        <v>1</v>
      </c>
      <c r="N621" s="6">
        <f>IFERROR(__xludf.DUMMYFUNCTION("IF(REGEXMATCH(I621,""Upskill""),1,0)
"),1.0)</f>
        <v>1</v>
      </c>
      <c r="O621" s="6">
        <f>IFERROR(__xludf.DUMMYFUNCTION("IF(REGEXMATCH(I621,""Networking""),1,0)
"),1.0)</f>
        <v>1</v>
      </c>
      <c r="P621" s="6">
        <f>IFERROR(__xludf.DUMMYFUNCTION("IF(REGEXMATCH(I621,""Switch Career""),1,0)
"),1.0)</f>
        <v>1</v>
      </c>
    </row>
    <row r="622" ht="22.5" customHeight="1">
      <c r="A622" s="7">
        <v>46040.360748182866</v>
      </c>
      <c r="B622" s="8" t="s">
        <v>2584</v>
      </c>
      <c r="C622" s="8" t="s">
        <v>2585</v>
      </c>
      <c r="D622" s="9" t="s">
        <v>2586</v>
      </c>
      <c r="E622" s="8" t="s">
        <v>207</v>
      </c>
      <c r="F622" s="8" t="s">
        <v>49</v>
      </c>
      <c r="G622" s="8" t="s">
        <v>2587</v>
      </c>
      <c r="H622" s="8" t="s">
        <v>1601</v>
      </c>
      <c r="I622" s="8" t="s">
        <v>31</v>
      </c>
      <c r="J622" s="8" t="s">
        <v>24</v>
      </c>
      <c r="K622" s="6" t="str">
        <f t="shared" si="1"/>
        <v>082183194297</v>
      </c>
      <c r="L622" s="6" t="str">
        <f>IFERROR(
VLOOKUP(
TRIM(
IF(ISNUMBER(FIND(",",E622)),
LEFT(E622,FIND(",",E622)-1),
E622
)
),
master!A:B,
2,
FALSE
),
"Belum ada mapping"
)
</f>
        <v>Jakarta</v>
      </c>
      <c r="M622" s="6">
        <f>IFERROR(__xludf.DUMMYFUNCTION("IF(REGEXMATCH(I622,""Cari Kerja""),1,0)
"),1.0)</f>
        <v>1</v>
      </c>
      <c r="N622" s="6">
        <f>IFERROR(__xludf.DUMMYFUNCTION("IF(REGEXMATCH(I622,""Upskill""),1,0)
"),1.0)</f>
        <v>1</v>
      </c>
      <c r="O622" s="6">
        <f>IFERROR(__xludf.DUMMYFUNCTION("IF(REGEXMATCH(I622,""Networking""),1,0)
"),1.0)</f>
        <v>1</v>
      </c>
      <c r="P622" s="6">
        <f>IFERROR(__xludf.DUMMYFUNCTION("IF(REGEXMATCH(I622,""Switch Career""),1,0)
"),1.0)</f>
        <v>1</v>
      </c>
    </row>
    <row r="623" ht="22.5" customHeight="1">
      <c r="A623" s="3">
        <v>46048.391603275464</v>
      </c>
      <c r="B623" s="5" t="s">
        <v>2588</v>
      </c>
      <c r="C623" s="5" t="s">
        <v>2589</v>
      </c>
      <c r="D623" s="4" t="s">
        <v>2590</v>
      </c>
      <c r="E623" s="5" t="s">
        <v>1617</v>
      </c>
      <c r="F623" s="5" t="s">
        <v>49</v>
      </c>
      <c r="G623" s="5" t="s">
        <v>2591</v>
      </c>
      <c r="H623" s="5" t="s">
        <v>2592</v>
      </c>
      <c r="I623" s="5" t="s">
        <v>31</v>
      </c>
      <c r="J623" s="5" t="s">
        <v>24</v>
      </c>
      <c r="K623" s="6" t="str">
        <f t="shared" si="1"/>
        <v>08984256431</v>
      </c>
      <c r="L623" s="6" t="str">
        <f>IFERROR(
VLOOKUP(
TRIM(
IF(ISNUMBER(FIND(",",E623)),
LEFT(E623,FIND(",",E623)-1),
E623
)
),
master!A:B,
2,
FALSE
),
"Belum ada mapping"
)
</f>
        <v>Jakarta</v>
      </c>
      <c r="M623" s="6">
        <f>IFERROR(__xludf.DUMMYFUNCTION("IF(REGEXMATCH(I623,""Cari Kerja""),1,0)
"),1.0)</f>
        <v>1</v>
      </c>
      <c r="N623" s="6">
        <f>IFERROR(__xludf.DUMMYFUNCTION("IF(REGEXMATCH(I623,""Upskill""),1,0)
"),1.0)</f>
        <v>1</v>
      </c>
      <c r="O623" s="6">
        <f>IFERROR(__xludf.DUMMYFUNCTION("IF(REGEXMATCH(I623,""Networking""),1,0)
"),1.0)</f>
        <v>1</v>
      </c>
      <c r="P623" s="6">
        <f>IFERROR(__xludf.DUMMYFUNCTION("IF(REGEXMATCH(I623,""Switch Career""),1,0)
"),1.0)</f>
        <v>1</v>
      </c>
    </row>
    <row r="624" ht="22.5" customHeight="1">
      <c r="A624" s="3">
        <v>46045.758979618055</v>
      </c>
      <c r="B624" s="5" t="s">
        <v>2593</v>
      </c>
      <c r="C624" s="5" t="s">
        <v>2594</v>
      </c>
      <c r="D624" s="4" t="s">
        <v>2595</v>
      </c>
      <c r="E624" s="5" t="s">
        <v>1440</v>
      </c>
      <c r="F624" s="5" t="s">
        <v>20</v>
      </c>
      <c r="G624" s="5" t="s">
        <v>910</v>
      </c>
      <c r="H624" s="5" t="s">
        <v>51</v>
      </c>
      <c r="I624" s="5" t="s">
        <v>13</v>
      </c>
      <c r="J624" s="5" t="s">
        <v>24</v>
      </c>
      <c r="K624" s="6" t="str">
        <f t="shared" si="1"/>
        <v>082213633021</v>
      </c>
      <c r="L624" s="6" t="str">
        <f>IFERROR(
VLOOKUP(
TRIM(
IF(ISNUMBER(FIND(",",E624)),
LEFT(E624,FIND(",",E624)-1),
E624
)
),
master!A:B,
2,
FALSE
),
"Belum ada mapping"
)
</f>
        <v>Sulawesi Tenggara</v>
      </c>
      <c r="M624" s="6">
        <f>IFERROR(__xludf.DUMMYFUNCTION("IF(REGEXMATCH(I624,""Cari Kerja""),1,0)
"),0.0)</f>
        <v>0</v>
      </c>
      <c r="N624" s="6">
        <f>IFERROR(__xludf.DUMMYFUNCTION("IF(REGEXMATCH(I624,""Upskill""),1,0)
"),1.0)</f>
        <v>1</v>
      </c>
      <c r="O624" s="6">
        <f>IFERROR(__xludf.DUMMYFUNCTION("IF(REGEXMATCH(I624,""Networking""),1,0)
"),0.0)</f>
        <v>0</v>
      </c>
      <c r="P624" s="6">
        <f>IFERROR(__xludf.DUMMYFUNCTION("IF(REGEXMATCH(I624,""Switch Career""),1,0)
"),0.0)</f>
        <v>0</v>
      </c>
    </row>
    <row r="625" ht="22.5" customHeight="1">
      <c r="A625" s="7">
        <v>46040.80082121528</v>
      </c>
      <c r="B625" s="8" t="s">
        <v>2596</v>
      </c>
      <c r="C625" s="8" t="s">
        <v>2597</v>
      </c>
      <c r="D625" s="9" t="s">
        <v>2598</v>
      </c>
      <c r="E625" s="8" t="s">
        <v>113</v>
      </c>
      <c r="F625" s="8" t="s">
        <v>20</v>
      </c>
      <c r="G625" s="8" t="s">
        <v>2316</v>
      </c>
      <c r="H625" s="8" t="s">
        <v>2599</v>
      </c>
      <c r="I625" s="8" t="s">
        <v>13</v>
      </c>
      <c r="J625" s="8" t="s">
        <v>24</v>
      </c>
      <c r="K625" s="6" t="str">
        <f t="shared" si="1"/>
        <v>0819879996</v>
      </c>
      <c r="L625" s="6" t="str">
        <f>IFERROR(
VLOOKUP(
TRIM(
IF(ISNUMBER(FIND(",",E625)),
LEFT(E625,FIND(",",E625)-1),
E625
)
),
master!A:B,
2,
FALSE
),
"Belum ada mapping"
)
</f>
        <v>Sumatera Utara</v>
      </c>
      <c r="M625" s="6">
        <f>IFERROR(__xludf.DUMMYFUNCTION("IF(REGEXMATCH(I625,""Cari Kerja""),1,0)
"),0.0)</f>
        <v>0</v>
      </c>
      <c r="N625" s="6">
        <f>IFERROR(__xludf.DUMMYFUNCTION("IF(REGEXMATCH(I625,""Upskill""),1,0)
"),1.0)</f>
        <v>1</v>
      </c>
      <c r="O625" s="6">
        <f>IFERROR(__xludf.DUMMYFUNCTION("IF(REGEXMATCH(I625,""Networking""),1,0)
"),0.0)</f>
        <v>0</v>
      </c>
      <c r="P625" s="6">
        <f>IFERROR(__xludf.DUMMYFUNCTION("IF(REGEXMATCH(I625,""Switch Career""),1,0)
"),0.0)</f>
        <v>0</v>
      </c>
    </row>
    <row r="626" ht="22.5" customHeight="1">
      <c r="A626" s="3">
        <v>46042.31484237268</v>
      </c>
      <c r="B626" s="5" t="s">
        <v>2600</v>
      </c>
      <c r="C626" s="5" t="s">
        <v>2601</v>
      </c>
      <c r="D626" s="4" t="s">
        <v>2602</v>
      </c>
      <c r="E626" s="5" t="s">
        <v>1617</v>
      </c>
      <c r="F626" s="5" t="s">
        <v>49</v>
      </c>
      <c r="G626" s="5" t="s">
        <v>867</v>
      </c>
      <c r="H626" s="5" t="s">
        <v>51</v>
      </c>
      <c r="I626" s="5" t="s">
        <v>13</v>
      </c>
      <c r="J626" s="5" t="s">
        <v>24</v>
      </c>
      <c r="K626" s="6" t="str">
        <f t="shared" si="1"/>
        <v>085212125365</v>
      </c>
      <c r="L626" s="6" t="str">
        <f>IFERROR(
VLOOKUP(
TRIM(
IF(ISNUMBER(FIND(",",E626)),
LEFT(E626,FIND(",",E626)-1),
E626
)
),
master!A:B,
2,
FALSE
),
"Belum ada mapping"
)
</f>
        <v>Jakarta</v>
      </c>
      <c r="M626" s="6">
        <f>IFERROR(__xludf.DUMMYFUNCTION("IF(REGEXMATCH(I626,""Cari Kerja""),1,0)
"),0.0)</f>
        <v>0</v>
      </c>
      <c r="N626" s="6">
        <f>IFERROR(__xludf.DUMMYFUNCTION("IF(REGEXMATCH(I626,""Upskill""),1,0)
"),1.0)</f>
        <v>1</v>
      </c>
      <c r="O626" s="6">
        <f>IFERROR(__xludf.DUMMYFUNCTION("IF(REGEXMATCH(I626,""Networking""),1,0)
"),0.0)</f>
        <v>0</v>
      </c>
      <c r="P626" s="6">
        <f>IFERROR(__xludf.DUMMYFUNCTION("IF(REGEXMATCH(I626,""Switch Career""),1,0)
"),0.0)</f>
        <v>0</v>
      </c>
    </row>
    <row r="627" ht="22.5" customHeight="1">
      <c r="A627" s="3">
        <v>46043.28854386574</v>
      </c>
      <c r="B627" s="5" t="s">
        <v>2603</v>
      </c>
      <c r="C627" s="5" t="s">
        <v>2604</v>
      </c>
      <c r="D627" s="4" t="s">
        <v>2605</v>
      </c>
      <c r="E627" s="5" t="s">
        <v>92</v>
      </c>
      <c r="F627" s="5" t="s">
        <v>49</v>
      </c>
      <c r="G627" s="5" t="s">
        <v>2606</v>
      </c>
      <c r="H627" s="5" t="s">
        <v>2607</v>
      </c>
      <c r="I627" s="5" t="s">
        <v>23</v>
      </c>
      <c r="J627" s="5" t="s">
        <v>24</v>
      </c>
      <c r="K627" s="6" t="str">
        <f t="shared" si="1"/>
        <v>089636862628</v>
      </c>
      <c r="L627" s="6" t="str">
        <f>IFERROR(
VLOOKUP(
TRIM(
IF(ISNUMBER(FIND(",",E627)),
LEFT(E627,FIND(",",E627)-1),
E627
)
),
master!A:B,
2,
FALSE
),
"Belum ada mapping"
)
</f>
        <v>Jawa Barat</v>
      </c>
      <c r="M627" s="6">
        <f>IFERROR(__xludf.DUMMYFUNCTION("IF(REGEXMATCH(I627,""Cari Kerja""),1,0)
"),1.0)</f>
        <v>1</v>
      </c>
      <c r="N627" s="6">
        <f>IFERROR(__xludf.DUMMYFUNCTION("IF(REGEXMATCH(I627,""Upskill""),1,0)
"),1.0)</f>
        <v>1</v>
      </c>
      <c r="O627" s="6">
        <f>IFERROR(__xludf.DUMMYFUNCTION("IF(REGEXMATCH(I627,""Networking""),1,0)
"),1.0)</f>
        <v>1</v>
      </c>
      <c r="P627" s="6">
        <f>IFERROR(__xludf.DUMMYFUNCTION("IF(REGEXMATCH(I627,""Switch Career""),1,0)
"),0.0)</f>
        <v>0</v>
      </c>
    </row>
    <row r="628" ht="22.5" customHeight="1">
      <c r="A628" s="3">
        <v>46043.3270372338</v>
      </c>
      <c r="B628" s="5" t="s">
        <v>2608</v>
      </c>
      <c r="C628" s="5" t="s">
        <v>2609</v>
      </c>
      <c r="D628" s="4" t="s">
        <v>2610</v>
      </c>
      <c r="E628" s="5" t="s">
        <v>185</v>
      </c>
      <c r="F628" s="5" t="s">
        <v>49</v>
      </c>
      <c r="G628" s="5" t="s">
        <v>2611</v>
      </c>
      <c r="H628" s="5" t="s">
        <v>430</v>
      </c>
      <c r="I628" s="5" t="s">
        <v>59</v>
      </c>
      <c r="J628" s="5" t="s">
        <v>24</v>
      </c>
      <c r="K628" s="6" t="str">
        <f t="shared" si="1"/>
        <v>085155430432</v>
      </c>
      <c r="L628" s="6" t="str">
        <f>IFERROR(
VLOOKUP(
TRIM(
IF(ISNUMBER(FIND(",",E628)),
LEFT(E628,FIND(",",E628)-1),
E628
)
),
master!A:B,
2,
FALSE
),
"Belum ada mapping"
)
</f>
        <v>Jakarta</v>
      </c>
      <c r="M628" s="6">
        <f>IFERROR(__xludf.DUMMYFUNCTION("IF(REGEXMATCH(I628,""Cari Kerja""),1,0)
"),0.0)</f>
        <v>0</v>
      </c>
      <c r="N628" s="6">
        <f>IFERROR(__xludf.DUMMYFUNCTION("IF(REGEXMATCH(I628,""Upskill""),1,0)
"),1.0)</f>
        <v>1</v>
      </c>
      <c r="O628" s="6">
        <f>IFERROR(__xludf.DUMMYFUNCTION("IF(REGEXMATCH(I628,""Networking""),1,0)
"),1.0)</f>
        <v>1</v>
      </c>
      <c r="P628" s="6">
        <f>IFERROR(__xludf.DUMMYFUNCTION("IF(REGEXMATCH(I628,""Switch Career""),1,0)
"),0.0)</f>
        <v>0</v>
      </c>
    </row>
    <row r="629" ht="22.5" customHeight="1">
      <c r="A629" s="7">
        <v>46040.43146975695</v>
      </c>
      <c r="B629" s="8" t="s">
        <v>2612</v>
      </c>
      <c r="C629" s="8" t="s">
        <v>2613</v>
      </c>
      <c r="D629" s="9" t="s">
        <v>2614</v>
      </c>
      <c r="E629" s="8" t="s">
        <v>2615</v>
      </c>
      <c r="F629" s="8" t="s">
        <v>20</v>
      </c>
      <c r="G629" s="8" t="s">
        <v>656</v>
      </c>
      <c r="H629" s="8" t="s">
        <v>51</v>
      </c>
      <c r="I629" s="8" t="s">
        <v>23</v>
      </c>
      <c r="J629" s="8" t="s">
        <v>24</v>
      </c>
      <c r="K629" s="6" t="str">
        <f t="shared" si="1"/>
        <v>081261638282</v>
      </c>
      <c r="L629" s="6" t="str">
        <f>IFERROR(
VLOOKUP(
TRIM(
IF(ISNUMBER(FIND(",",E629)),
LEFT(E629,FIND(",",E629)-1),
E629
)
),
master!A:B,
2,
FALSE
),
"Belum ada mapping"
)
</f>
        <v>Sumatera Barat</v>
      </c>
      <c r="M629" s="6">
        <f>IFERROR(__xludf.DUMMYFUNCTION("IF(REGEXMATCH(I629,""Cari Kerja""),1,0)
"),1.0)</f>
        <v>1</v>
      </c>
      <c r="N629" s="6">
        <f>IFERROR(__xludf.DUMMYFUNCTION("IF(REGEXMATCH(I629,""Upskill""),1,0)
"),1.0)</f>
        <v>1</v>
      </c>
      <c r="O629" s="6">
        <f>IFERROR(__xludf.DUMMYFUNCTION("IF(REGEXMATCH(I629,""Networking""),1,0)
"),1.0)</f>
        <v>1</v>
      </c>
      <c r="P629" s="6">
        <f>IFERROR(__xludf.DUMMYFUNCTION("IF(REGEXMATCH(I629,""Switch Career""),1,0)
"),0.0)</f>
        <v>0</v>
      </c>
    </row>
    <row r="630" ht="22.5" customHeight="1">
      <c r="A630" s="3">
        <v>46042.32660237269</v>
      </c>
      <c r="B630" s="5" t="s">
        <v>2616</v>
      </c>
      <c r="C630" s="5" t="s">
        <v>2617</v>
      </c>
      <c r="D630" s="4" t="s">
        <v>2618</v>
      </c>
      <c r="E630" s="5" t="s">
        <v>207</v>
      </c>
      <c r="F630" s="5" t="s">
        <v>20</v>
      </c>
      <c r="G630" s="5" t="s">
        <v>369</v>
      </c>
      <c r="H630" s="5" t="s">
        <v>2619</v>
      </c>
      <c r="I630" s="5" t="s">
        <v>59</v>
      </c>
      <c r="J630" s="5" t="s">
        <v>24</v>
      </c>
      <c r="K630" s="6" t="str">
        <f t="shared" si="1"/>
        <v>0895704106062</v>
      </c>
      <c r="L630" s="6" t="str">
        <f>IFERROR(
VLOOKUP(
TRIM(
IF(ISNUMBER(FIND(",",E630)),
LEFT(E630,FIND(",",E630)-1),
E630
)
),
master!A:B,
2,
FALSE
),
"Belum ada mapping"
)
</f>
        <v>Jakarta</v>
      </c>
      <c r="M630" s="6">
        <f>IFERROR(__xludf.DUMMYFUNCTION("IF(REGEXMATCH(I630,""Cari Kerja""),1,0)
"),0.0)</f>
        <v>0</v>
      </c>
      <c r="N630" s="6">
        <f>IFERROR(__xludf.DUMMYFUNCTION("IF(REGEXMATCH(I630,""Upskill""),1,0)
"),1.0)</f>
        <v>1</v>
      </c>
      <c r="O630" s="6">
        <f>IFERROR(__xludf.DUMMYFUNCTION("IF(REGEXMATCH(I630,""Networking""),1,0)
"),1.0)</f>
        <v>1</v>
      </c>
      <c r="P630" s="6">
        <f>IFERROR(__xludf.DUMMYFUNCTION("IF(REGEXMATCH(I630,""Switch Career""),1,0)
"),0.0)</f>
        <v>0</v>
      </c>
    </row>
    <row r="631" ht="22.5" customHeight="1">
      <c r="A631" s="7">
        <v>46040.36317458333</v>
      </c>
      <c r="B631" s="8" t="s">
        <v>2620</v>
      </c>
      <c r="C631" s="8" t="s">
        <v>2621</v>
      </c>
      <c r="D631" s="9" t="s">
        <v>2622</v>
      </c>
      <c r="E631" s="8" t="s">
        <v>344</v>
      </c>
      <c r="F631" s="8" t="s">
        <v>49</v>
      </c>
      <c r="G631" s="8" t="s">
        <v>2623</v>
      </c>
      <c r="H631" s="8" t="s">
        <v>51</v>
      </c>
      <c r="I631" s="8" t="s">
        <v>31</v>
      </c>
      <c r="J631" s="8" t="s">
        <v>24</v>
      </c>
      <c r="K631" s="6" t="str">
        <f t="shared" si="1"/>
        <v>085155223150</v>
      </c>
      <c r="L631" s="6" t="str">
        <f>IFERROR(
VLOOKUP(
TRIM(
IF(ISNUMBER(FIND(",",E631)),
LEFT(E631,FIND(",",E631)-1),
E631
)
),
master!A:B,
2,
FALSE
),
"Belum ada mapping"
)
</f>
        <v>Jawa Timur</v>
      </c>
      <c r="M631" s="6">
        <f>IFERROR(__xludf.DUMMYFUNCTION("IF(REGEXMATCH(I631,""Cari Kerja""),1,0)
"),1.0)</f>
        <v>1</v>
      </c>
      <c r="N631" s="6">
        <f>IFERROR(__xludf.DUMMYFUNCTION("IF(REGEXMATCH(I631,""Upskill""),1,0)
"),1.0)</f>
        <v>1</v>
      </c>
      <c r="O631" s="6">
        <f>IFERROR(__xludf.DUMMYFUNCTION("IF(REGEXMATCH(I631,""Networking""),1,0)
"),1.0)</f>
        <v>1</v>
      </c>
      <c r="P631" s="6">
        <f>IFERROR(__xludf.DUMMYFUNCTION("IF(REGEXMATCH(I631,""Switch Career""),1,0)
"),1.0)</f>
        <v>1</v>
      </c>
    </row>
    <row r="632" ht="22.5" customHeight="1">
      <c r="A632" s="7">
        <v>46040.35677430556</v>
      </c>
      <c r="B632" s="8" t="s">
        <v>2624</v>
      </c>
      <c r="C632" s="8" t="s">
        <v>2625</v>
      </c>
      <c r="D632" s="9" t="s">
        <v>2626</v>
      </c>
      <c r="E632" s="8" t="s">
        <v>1484</v>
      </c>
      <c r="F632" s="8" t="s">
        <v>49</v>
      </c>
      <c r="G632" s="8" t="s">
        <v>2627</v>
      </c>
      <c r="H632" s="8" t="s">
        <v>2628</v>
      </c>
      <c r="I632" s="8" t="s">
        <v>23</v>
      </c>
      <c r="J632" s="8" t="s">
        <v>24</v>
      </c>
      <c r="K632" s="6" t="str">
        <f t="shared" si="1"/>
        <v>081224858020</v>
      </c>
      <c r="L632" s="6" t="str">
        <f>IFERROR(
VLOOKUP(
TRIM(
IF(ISNUMBER(FIND(",",E632)),
LEFT(E632,FIND(",",E632)-1),
E632
)
),
master!A:B,
2,
FALSE
),
"Belum ada mapping"
)
</f>
        <v>Jawa Timur</v>
      </c>
      <c r="M632" s="6">
        <f>IFERROR(__xludf.DUMMYFUNCTION("IF(REGEXMATCH(I632,""Cari Kerja""),1,0)
"),1.0)</f>
        <v>1</v>
      </c>
      <c r="N632" s="6">
        <f>IFERROR(__xludf.DUMMYFUNCTION("IF(REGEXMATCH(I632,""Upskill""),1,0)
"),1.0)</f>
        <v>1</v>
      </c>
      <c r="O632" s="6">
        <f>IFERROR(__xludf.DUMMYFUNCTION("IF(REGEXMATCH(I632,""Networking""),1,0)
"),1.0)</f>
        <v>1</v>
      </c>
      <c r="P632" s="6">
        <f>IFERROR(__xludf.DUMMYFUNCTION("IF(REGEXMATCH(I632,""Switch Career""),1,0)
"),0.0)</f>
        <v>0</v>
      </c>
    </row>
    <row r="633" ht="22.5" customHeight="1">
      <c r="A633" s="3">
        <v>46048.933466319446</v>
      </c>
      <c r="B633" s="5" t="s">
        <v>2629</v>
      </c>
      <c r="C633" s="5" t="s">
        <v>2630</v>
      </c>
      <c r="D633" s="4" t="s">
        <v>2631</v>
      </c>
      <c r="E633" s="5" t="s">
        <v>2244</v>
      </c>
      <c r="F633" s="5" t="s">
        <v>20</v>
      </c>
      <c r="G633" s="5" t="s">
        <v>2632</v>
      </c>
      <c r="H633" s="5" t="s">
        <v>51</v>
      </c>
      <c r="I633" s="5" t="s">
        <v>31</v>
      </c>
      <c r="J633" s="5" t="s">
        <v>24</v>
      </c>
      <c r="K633" s="6" t="str">
        <f t="shared" si="1"/>
        <v>082366977220</v>
      </c>
      <c r="L633" s="6" t="str">
        <f>IFERROR(
VLOOKUP(
TRIM(
IF(ISNUMBER(FIND(",",E633)),
LEFT(E633,FIND(",",E633)-1),
E633
)
),
master!A:B,
2,
FALSE
),
"Belum ada mapping"
)
</f>
        <v>Jawa Barat</v>
      </c>
      <c r="M633" s="6">
        <f>IFERROR(__xludf.DUMMYFUNCTION("IF(REGEXMATCH(I633,""Cari Kerja""),1,0)
"),1.0)</f>
        <v>1</v>
      </c>
      <c r="N633" s="6">
        <f>IFERROR(__xludf.DUMMYFUNCTION("IF(REGEXMATCH(I633,""Upskill""),1,0)
"),1.0)</f>
        <v>1</v>
      </c>
      <c r="O633" s="6">
        <f>IFERROR(__xludf.DUMMYFUNCTION("IF(REGEXMATCH(I633,""Networking""),1,0)
"),1.0)</f>
        <v>1</v>
      </c>
      <c r="P633" s="6">
        <f>IFERROR(__xludf.DUMMYFUNCTION("IF(REGEXMATCH(I633,""Switch Career""),1,0)
"),1.0)</f>
        <v>1</v>
      </c>
    </row>
    <row r="634" ht="22.5" customHeight="1">
      <c r="A634" s="3">
        <v>46123.42763414352</v>
      </c>
      <c r="B634" s="5" t="s">
        <v>2633</v>
      </c>
      <c r="C634" s="5" t="s">
        <v>2634</v>
      </c>
      <c r="D634" s="4" t="s">
        <v>2635</v>
      </c>
      <c r="E634" s="5" t="s">
        <v>207</v>
      </c>
      <c r="F634" s="5" t="s">
        <v>20</v>
      </c>
      <c r="G634" s="5" t="s">
        <v>69</v>
      </c>
      <c r="H634" s="5" t="s">
        <v>51</v>
      </c>
      <c r="I634" s="5" t="s">
        <v>23</v>
      </c>
      <c r="J634" s="5" t="s">
        <v>24</v>
      </c>
      <c r="K634" s="10" t="str">
        <f t="shared" si="1"/>
        <v>081807116049</v>
      </c>
      <c r="L634" s="10" t="str">
        <f>IFERROR(
VLOOKUP(
TRIM(
IF(ISNUMBER(FIND(",",E634)),
LEFT(E634,FIND(",",E634)-1),
E634
)
),
master!A:B,
2,
FALSE
),
"Belum ada mapping"
)
</f>
        <v>Jakarta</v>
      </c>
      <c r="M634" s="10">
        <f>IFERROR(__xludf.DUMMYFUNCTION("IF(REGEXMATCH(I634,""Cari Kerja""),1,0)
"),1.0)</f>
        <v>1</v>
      </c>
      <c r="N634" s="10">
        <f>IFERROR(__xludf.DUMMYFUNCTION("IF(REGEXMATCH(I634,""Upskill""),1,0)
"),1.0)</f>
        <v>1</v>
      </c>
      <c r="O634" s="10">
        <f>IFERROR(__xludf.DUMMYFUNCTION("IF(REGEXMATCH(I634,""Networking""),1,0)
"),1.0)</f>
        <v>1</v>
      </c>
      <c r="P634" s="10">
        <f>IFERROR(__xludf.DUMMYFUNCTION("IF(REGEXMATCH(I634,""Switch Career""),1,0)
"),0.0)</f>
        <v>0</v>
      </c>
    </row>
    <row r="635" ht="22.5" customHeight="1">
      <c r="A635" s="3">
        <v>46072.46537863426</v>
      </c>
      <c r="B635" s="5" t="s">
        <v>2636</v>
      </c>
      <c r="C635" s="5" t="s">
        <v>2637</v>
      </c>
      <c r="D635" s="4" t="s">
        <v>2638</v>
      </c>
      <c r="E635" s="5" t="s">
        <v>42</v>
      </c>
      <c r="F635" s="5" t="s">
        <v>49</v>
      </c>
      <c r="G635" s="5" t="s">
        <v>2639</v>
      </c>
      <c r="H635" s="5" t="s">
        <v>51</v>
      </c>
      <c r="I635" s="5" t="s">
        <v>59</v>
      </c>
      <c r="J635" s="5" t="s">
        <v>24</v>
      </c>
      <c r="K635" s="10" t="str">
        <f t="shared" si="1"/>
        <v>085211023319</v>
      </c>
      <c r="L635" s="10" t="str">
        <f>IFERROR(
VLOOKUP(
TRIM(
IF(ISNUMBER(FIND(",",E635)),
LEFT(E635,FIND(",",E635)-1),
E635
)
),
master!A:B,
2,
FALSE
),
"Belum ada mapping"
)
</f>
        <v>Jawa Barat</v>
      </c>
      <c r="M635" s="10">
        <f>IFERROR(__xludf.DUMMYFUNCTION("IF(REGEXMATCH(I635,""Cari Kerja""),1,0)
"),0.0)</f>
        <v>0</v>
      </c>
      <c r="N635" s="10">
        <f>IFERROR(__xludf.DUMMYFUNCTION("IF(REGEXMATCH(I635,""Upskill""),1,0)
"),1.0)</f>
        <v>1</v>
      </c>
      <c r="O635" s="10">
        <f>IFERROR(__xludf.DUMMYFUNCTION("IF(REGEXMATCH(I635,""Networking""),1,0)
"),1.0)</f>
        <v>1</v>
      </c>
      <c r="P635" s="10">
        <f>IFERROR(__xludf.DUMMYFUNCTION("IF(REGEXMATCH(I635,""Switch Career""),1,0)
"),0.0)</f>
        <v>0</v>
      </c>
    </row>
    <row r="636" ht="22.5" customHeight="1">
      <c r="A636" s="3">
        <v>46042.34442076389</v>
      </c>
      <c r="B636" s="5" t="s">
        <v>2640</v>
      </c>
      <c r="C636" s="5" t="s">
        <v>2641</v>
      </c>
      <c r="D636" s="4" t="s">
        <v>2642</v>
      </c>
      <c r="E636" s="5" t="s">
        <v>484</v>
      </c>
      <c r="F636" s="5" t="s">
        <v>49</v>
      </c>
      <c r="G636" s="5" t="s">
        <v>2643</v>
      </c>
      <c r="H636" s="5" t="s">
        <v>315</v>
      </c>
      <c r="I636" s="5" t="s">
        <v>23</v>
      </c>
      <c r="J636" s="5" t="s">
        <v>24</v>
      </c>
      <c r="K636" s="6" t="str">
        <f t="shared" si="1"/>
        <v>081779215463</v>
      </c>
      <c r="L636" s="6" t="str">
        <f>IFERROR(
VLOOKUP(
TRIM(
IF(ISNUMBER(FIND(",",E636)),
LEFT(E636,FIND(",",E636)-1),
E636
)
),
master!A:B,
2,
FALSE
),
"Belum ada mapping"
)
</f>
        <v>Jawa Tengah</v>
      </c>
      <c r="M636" s="6">
        <f>IFERROR(__xludf.DUMMYFUNCTION("IF(REGEXMATCH(I636,""Cari Kerja""),1,0)
"),1.0)</f>
        <v>1</v>
      </c>
      <c r="N636" s="6">
        <f>IFERROR(__xludf.DUMMYFUNCTION("IF(REGEXMATCH(I636,""Upskill""),1,0)
"),1.0)</f>
        <v>1</v>
      </c>
      <c r="O636" s="6">
        <f>IFERROR(__xludf.DUMMYFUNCTION("IF(REGEXMATCH(I636,""Networking""),1,0)
"),1.0)</f>
        <v>1</v>
      </c>
      <c r="P636" s="6">
        <f>IFERROR(__xludf.DUMMYFUNCTION("IF(REGEXMATCH(I636,""Switch Career""),1,0)
"),0.0)</f>
        <v>0</v>
      </c>
    </row>
    <row r="637" ht="22.5" customHeight="1">
      <c r="A637" s="3">
        <v>46045.484902199074</v>
      </c>
      <c r="B637" s="5" t="s">
        <v>2644</v>
      </c>
      <c r="C637" s="5" t="s">
        <v>2645</v>
      </c>
      <c r="D637" s="4" t="s">
        <v>2646</v>
      </c>
      <c r="E637" s="5" t="s">
        <v>2252</v>
      </c>
      <c r="F637" s="5" t="s">
        <v>20</v>
      </c>
      <c r="G637" s="5" t="s">
        <v>21</v>
      </c>
      <c r="H637" s="5" t="s">
        <v>51</v>
      </c>
      <c r="I637" s="5" t="s">
        <v>31</v>
      </c>
      <c r="J637" s="5" t="s">
        <v>24</v>
      </c>
      <c r="K637" s="6" t="str">
        <f t="shared" si="1"/>
        <v>082182657651</v>
      </c>
      <c r="L637" s="6" t="str">
        <f>IFERROR(
VLOOKUP(
TRIM(
IF(ISNUMBER(FIND(",",E637)),
LEFT(E637,FIND(",",E637)-1),
E637
)
),
master!A:B,
2,
FALSE
),
"Belum ada mapping"
)
</f>
        <v>Bengkulu</v>
      </c>
      <c r="M637" s="6">
        <f>IFERROR(__xludf.DUMMYFUNCTION("IF(REGEXMATCH(I637,""Cari Kerja""),1,0)
"),1.0)</f>
        <v>1</v>
      </c>
      <c r="N637" s="6">
        <f>IFERROR(__xludf.DUMMYFUNCTION("IF(REGEXMATCH(I637,""Upskill""),1,0)
"),1.0)</f>
        <v>1</v>
      </c>
      <c r="O637" s="6">
        <f>IFERROR(__xludf.DUMMYFUNCTION("IF(REGEXMATCH(I637,""Networking""),1,0)
"),1.0)</f>
        <v>1</v>
      </c>
      <c r="P637" s="6">
        <f>IFERROR(__xludf.DUMMYFUNCTION("IF(REGEXMATCH(I637,""Switch Career""),1,0)
"),1.0)</f>
        <v>1</v>
      </c>
    </row>
    <row r="638" ht="22.5" customHeight="1">
      <c r="A638" s="3">
        <v>46042.29324875</v>
      </c>
      <c r="B638" s="5" t="s">
        <v>2647</v>
      </c>
      <c r="C638" s="5" t="s">
        <v>2648</v>
      </c>
      <c r="D638" s="4" t="s">
        <v>2649</v>
      </c>
      <c r="E638" s="5" t="s">
        <v>2183</v>
      </c>
      <c r="F638" s="5" t="s">
        <v>20</v>
      </c>
      <c r="G638" s="5" t="s">
        <v>1068</v>
      </c>
      <c r="H638" s="5" t="s">
        <v>176</v>
      </c>
      <c r="I638" s="5" t="s">
        <v>13</v>
      </c>
      <c r="J638" s="5" t="s">
        <v>24</v>
      </c>
      <c r="K638" s="6" t="str">
        <f t="shared" si="1"/>
        <v>085921598479</v>
      </c>
      <c r="L638" s="6" t="str">
        <f>IFERROR(
VLOOKUP(
TRIM(
IF(ISNUMBER(FIND(",",E638)),
LEFT(E638,FIND(",",E638)-1),
E638
)
),
master!A:B,
2,
FALSE
),
"Belum ada mapping"
)
</f>
        <v>Jawa Barat</v>
      </c>
      <c r="M638" s="6">
        <f>IFERROR(__xludf.DUMMYFUNCTION("IF(REGEXMATCH(I638,""Cari Kerja""),1,0)
"),0.0)</f>
        <v>0</v>
      </c>
      <c r="N638" s="6">
        <f>IFERROR(__xludf.DUMMYFUNCTION("IF(REGEXMATCH(I638,""Upskill""),1,0)
"),1.0)</f>
        <v>1</v>
      </c>
      <c r="O638" s="6">
        <f>IFERROR(__xludf.DUMMYFUNCTION("IF(REGEXMATCH(I638,""Networking""),1,0)
"),0.0)</f>
        <v>0</v>
      </c>
      <c r="P638" s="6">
        <f>IFERROR(__xludf.DUMMYFUNCTION("IF(REGEXMATCH(I638,""Switch Career""),1,0)
"),0.0)</f>
        <v>0</v>
      </c>
    </row>
    <row r="639" ht="22.5" customHeight="1">
      <c r="A639" s="7">
        <v>46040.335524317125</v>
      </c>
      <c r="B639" s="8" t="s">
        <v>2650</v>
      </c>
      <c r="C639" s="8" t="s">
        <v>2651</v>
      </c>
      <c r="D639" s="9" t="s">
        <v>2652</v>
      </c>
      <c r="E639" s="8" t="s">
        <v>92</v>
      </c>
      <c r="F639" s="8" t="s">
        <v>20</v>
      </c>
      <c r="G639" s="8" t="s">
        <v>2653</v>
      </c>
      <c r="H639" s="8" t="s">
        <v>391</v>
      </c>
      <c r="I639" s="8" t="s">
        <v>109</v>
      </c>
      <c r="J639" s="8" t="s">
        <v>38</v>
      </c>
      <c r="K639" s="6" t="str">
        <f t="shared" si="1"/>
        <v>082119108359</v>
      </c>
      <c r="L639" s="6" t="str">
        <f>IFERROR(
VLOOKUP(
TRIM(
IF(ISNUMBER(FIND(",",E639)),
LEFT(E639,FIND(",",E639)-1),
E639
)
),
master!A:B,
2,
FALSE
),
"Belum ada mapping"
)
</f>
        <v>Jawa Barat</v>
      </c>
      <c r="M639" s="6">
        <f>IFERROR(__xludf.DUMMYFUNCTION("IF(REGEXMATCH(I639,""Cari Kerja""),1,0)
"),1.0)</f>
        <v>1</v>
      </c>
      <c r="N639" s="6">
        <f>IFERROR(__xludf.DUMMYFUNCTION("IF(REGEXMATCH(I639,""Upskill""),1,0)
"),0.0)</f>
        <v>0</v>
      </c>
      <c r="O639" s="6">
        <f>IFERROR(__xludf.DUMMYFUNCTION("IF(REGEXMATCH(I639,""Networking""),1,0)
"),1.0)</f>
        <v>1</v>
      </c>
      <c r="P639" s="6">
        <f>IFERROR(__xludf.DUMMYFUNCTION("IF(REGEXMATCH(I639,""Switch Career""),1,0)
"),0.0)</f>
        <v>0</v>
      </c>
    </row>
    <row r="640" ht="22.5" customHeight="1">
      <c r="A640" s="3">
        <v>46046.53579484954</v>
      </c>
      <c r="B640" s="5" t="s">
        <v>2650</v>
      </c>
      <c r="C640" s="5" t="s">
        <v>2651</v>
      </c>
      <c r="D640" s="4" t="s">
        <v>2652</v>
      </c>
      <c r="E640" s="5" t="s">
        <v>48</v>
      </c>
      <c r="F640" s="5" t="s">
        <v>49</v>
      </c>
      <c r="G640" s="5" t="s">
        <v>21</v>
      </c>
      <c r="H640" s="5" t="s">
        <v>187</v>
      </c>
      <c r="I640" s="5" t="s">
        <v>23</v>
      </c>
      <c r="J640" s="5" t="s">
        <v>38</v>
      </c>
      <c r="K640" s="6" t="str">
        <f t="shared" si="1"/>
        <v>082119108359</v>
      </c>
      <c r="L640" s="6" t="str">
        <f>IFERROR(
VLOOKUP(
TRIM(
IF(ISNUMBER(FIND(",",E640)),
LEFT(E640,FIND(",",E640)-1),
E640
)
),
master!A:B,
2,
FALSE
),
"Belum ada mapping"
)
</f>
        <v>DI Yogyakarta</v>
      </c>
      <c r="M640" s="6">
        <f>IFERROR(__xludf.DUMMYFUNCTION("IF(REGEXMATCH(I640,""Cari Kerja""),1,0)
"),1.0)</f>
        <v>1</v>
      </c>
      <c r="N640" s="6">
        <f>IFERROR(__xludf.DUMMYFUNCTION("IF(REGEXMATCH(I640,""Upskill""),1,0)
"),1.0)</f>
        <v>1</v>
      </c>
      <c r="O640" s="6">
        <f>IFERROR(__xludf.DUMMYFUNCTION("IF(REGEXMATCH(I640,""Networking""),1,0)
"),1.0)</f>
        <v>1</v>
      </c>
      <c r="P640" s="6">
        <f>IFERROR(__xludf.DUMMYFUNCTION("IF(REGEXMATCH(I640,""Switch Career""),1,0)
"),0.0)</f>
        <v>0</v>
      </c>
    </row>
    <row r="641" ht="22.5" customHeight="1">
      <c r="A641" s="3">
        <v>46048.93070513889</v>
      </c>
      <c r="B641" s="5" t="s">
        <v>2654</v>
      </c>
      <c r="C641" s="5" t="s">
        <v>2655</v>
      </c>
      <c r="D641" s="4" t="s">
        <v>2656</v>
      </c>
      <c r="E641" s="5" t="s">
        <v>92</v>
      </c>
      <c r="F641" s="5" t="s">
        <v>49</v>
      </c>
      <c r="G641" s="5" t="s">
        <v>2657</v>
      </c>
      <c r="H641" s="5" t="s">
        <v>51</v>
      </c>
      <c r="I641" s="5" t="s">
        <v>31</v>
      </c>
      <c r="J641" s="5" t="s">
        <v>24</v>
      </c>
      <c r="K641" s="6" t="str">
        <f t="shared" si="1"/>
        <v>085691376542</v>
      </c>
      <c r="L641" s="6" t="str">
        <f>IFERROR(
VLOOKUP(
TRIM(
IF(ISNUMBER(FIND(",",E641)),
LEFT(E641,FIND(",",E641)-1),
E641
)
),
master!A:B,
2,
FALSE
),
"Belum ada mapping"
)
</f>
        <v>Jawa Barat</v>
      </c>
      <c r="M641" s="6">
        <f>IFERROR(__xludf.DUMMYFUNCTION("IF(REGEXMATCH(I641,""Cari Kerja""),1,0)
"),1.0)</f>
        <v>1</v>
      </c>
      <c r="N641" s="6">
        <f>IFERROR(__xludf.DUMMYFUNCTION("IF(REGEXMATCH(I641,""Upskill""),1,0)
"),1.0)</f>
        <v>1</v>
      </c>
      <c r="O641" s="6">
        <f>IFERROR(__xludf.DUMMYFUNCTION("IF(REGEXMATCH(I641,""Networking""),1,0)
"),1.0)</f>
        <v>1</v>
      </c>
      <c r="P641" s="6">
        <f>IFERROR(__xludf.DUMMYFUNCTION("IF(REGEXMATCH(I641,""Switch Career""),1,0)
"),1.0)</f>
        <v>1</v>
      </c>
    </row>
    <row r="642" ht="22.5" customHeight="1">
      <c r="A642" s="3">
        <v>46046.33532241898</v>
      </c>
      <c r="B642" s="5" t="s">
        <v>2658</v>
      </c>
      <c r="C642" s="5" t="s">
        <v>2659</v>
      </c>
      <c r="D642" s="4" t="s">
        <v>2660</v>
      </c>
      <c r="E642" s="5" t="s">
        <v>249</v>
      </c>
      <c r="F642" s="5" t="s">
        <v>49</v>
      </c>
      <c r="G642" s="5" t="s">
        <v>2661</v>
      </c>
      <c r="H642" s="5" t="s">
        <v>51</v>
      </c>
      <c r="I642" s="5" t="s">
        <v>31</v>
      </c>
      <c r="J642" s="5" t="s">
        <v>24</v>
      </c>
      <c r="K642" s="6" t="str">
        <f t="shared" si="1"/>
        <v>082195280859</v>
      </c>
      <c r="L642" s="6" t="str">
        <f>IFERROR(
VLOOKUP(
TRIM(
IF(ISNUMBER(FIND(",",E642)),
LEFT(E642,FIND(",",E642)-1),
E642
)
),
master!A:B,
2,
FALSE
),
"Belum ada mapping"
)
</f>
        <v>Jambi</v>
      </c>
      <c r="M642" s="6">
        <f>IFERROR(__xludf.DUMMYFUNCTION("IF(REGEXMATCH(I642,""Cari Kerja""),1,0)
"),1.0)</f>
        <v>1</v>
      </c>
      <c r="N642" s="6">
        <f>IFERROR(__xludf.DUMMYFUNCTION("IF(REGEXMATCH(I642,""Upskill""),1,0)
"),1.0)</f>
        <v>1</v>
      </c>
      <c r="O642" s="6">
        <f>IFERROR(__xludf.DUMMYFUNCTION("IF(REGEXMATCH(I642,""Networking""),1,0)
"),1.0)</f>
        <v>1</v>
      </c>
      <c r="P642" s="6">
        <f>IFERROR(__xludf.DUMMYFUNCTION("IF(REGEXMATCH(I642,""Switch Career""),1,0)
"),1.0)</f>
        <v>1</v>
      </c>
    </row>
    <row r="643" ht="22.5" customHeight="1">
      <c r="A643" s="7">
        <v>46040.35917309028</v>
      </c>
      <c r="B643" s="8" t="s">
        <v>2662</v>
      </c>
      <c r="C643" s="8" t="s">
        <v>2663</v>
      </c>
      <c r="D643" s="9" t="s">
        <v>2664</v>
      </c>
      <c r="E643" s="8" t="s">
        <v>42</v>
      </c>
      <c r="F643" s="8" t="s">
        <v>20</v>
      </c>
      <c r="G643" s="8" t="s">
        <v>2665</v>
      </c>
      <c r="H643" s="8" t="s">
        <v>225</v>
      </c>
      <c r="I643" s="8" t="s">
        <v>13</v>
      </c>
      <c r="J643" s="8" t="s">
        <v>24</v>
      </c>
      <c r="K643" s="6" t="str">
        <f t="shared" si="1"/>
        <v>0895630987778</v>
      </c>
      <c r="L643" s="6" t="str">
        <f>IFERROR(
VLOOKUP(
TRIM(
IF(ISNUMBER(FIND(",",E643)),
LEFT(E643,FIND(",",E643)-1),
E643
)
),
master!A:B,
2,
FALSE
),
"Belum ada mapping"
)
</f>
        <v>Jawa Barat</v>
      </c>
      <c r="M643" s="6">
        <f>IFERROR(__xludf.DUMMYFUNCTION("IF(REGEXMATCH(I643,""Cari Kerja""),1,0)
"),0.0)</f>
        <v>0</v>
      </c>
      <c r="N643" s="6">
        <f>IFERROR(__xludf.DUMMYFUNCTION("IF(REGEXMATCH(I643,""Upskill""),1,0)
"),1.0)</f>
        <v>1</v>
      </c>
      <c r="O643" s="6">
        <f>IFERROR(__xludf.DUMMYFUNCTION("IF(REGEXMATCH(I643,""Networking""),1,0)
"),0.0)</f>
        <v>0</v>
      </c>
      <c r="P643" s="6">
        <f>IFERROR(__xludf.DUMMYFUNCTION("IF(REGEXMATCH(I643,""Switch Career""),1,0)
"),0.0)</f>
        <v>0</v>
      </c>
    </row>
    <row r="644" ht="22.5" customHeight="1">
      <c r="A644" s="3">
        <v>46049.26437881944</v>
      </c>
      <c r="B644" s="5" t="s">
        <v>2666</v>
      </c>
      <c r="C644" s="5" t="s">
        <v>2667</v>
      </c>
      <c r="D644" s="4" t="s">
        <v>2668</v>
      </c>
      <c r="E644" s="5" t="s">
        <v>48</v>
      </c>
      <c r="F644" s="5" t="s">
        <v>49</v>
      </c>
      <c r="G644" s="5" t="s">
        <v>2669</v>
      </c>
      <c r="H644" s="5" t="s">
        <v>709</v>
      </c>
      <c r="I644" s="5" t="s">
        <v>52</v>
      </c>
      <c r="J644" s="5" t="s">
        <v>24</v>
      </c>
      <c r="K644" s="6" t="str">
        <f t="shared" si="1"/>
        <v>082324282630</v>
      </c>
      <c r="L644" s="6" t="str">
        <f>IFERROR(
VLOOKUP(
TRIM(
IF(ISNUMBER(FIND(",",E644)),
LEFT(E644,FIND(",",E644)-1),
E644
)
),
master!A:B,
2,
FALSE
),
"Belum ada mapping"
)
</f>
        <v>DI Yogyakarta</v>
      </c>
      <c r="M644" s="6">
        <f>IFERROR(__xludf.DUMMYFUNCTION("IF(REGEXMATCH(I644,""Cari Kerja""),1,0)
"),0.0)</f>
        <v>0</v>
      </c>
      <c r="N644" s="6">
        <f>IFERROR(__xludf.DUMMYFUNCTION("IF(REGEXMATCH(I644,""Upskill""),1,0)
"),1.0)</f>
        <v>1</v>
      </c>
      <c r="O644" s="6">
        <f>IFERROR(__xludf.DUMMYFUNCTION("IF(REGEXMATCH(I644,""Networking""),1,0)
"),1.0)</f>
        <v>1</v>
      </c>
      <c r="P644" s="6">
        <f>IFERROR(__xludf.DUMMYFUNCTION("IF(REGEXMATCH(I644,""Switch Career""),1,0)
"),1.0)</f>
        <v>1</v>
      </c>
    </row>
    <row r="645" ht="22.5" customHeight="1">
      <c r="A645" s="7">
        <v>46040.438134826385</v>
      </c>
      <c r="B645" s="8" t="s">
        <v>2670</v>
      </c>
      <c r="C645" s="8" t="s">
        <v>2671</v>
      </c>
      <c r="D645" s="9" t="s">
        <v>2672</v>
      </c>
      <c r="E645" s="8" t="s">
        <v>207</v>
      </c>
      <c r="F645" s="8" t="s">
        <v>20</v>
      </c>
      <c r="G645" s="8" t="s">
        <v>2673</v>
      </c>
      <c r="H645" s="8" t="s">
        <v>1110</v>
      </c>
      <c r="I645" s="8" t="s">
        <v>12</v>
      </c>
      <c r="J645" s="8" t="s">
        <v>24</v>
      </c>
      <c r="K645" s="6" t="str">
        <f t="shared" si="1"/>
        <v>081292193858</v>
      </c>
      <c r="L645" s="6" t="str">
        <f>IFERROR(
VLOOKUP(
TRIM(
IF(ISNUMBER(FIND(",",E645)),
LEFT(E645,FIND(",",E645)-1),
E645
)
),
master!A:B,
2,
FALSE
),
"Belum ada mapping"
)
</f>
        <v>Jakarta</v>
      </c>
      <c r="M645" s="6">
        <f>IFERROR(__xludf.DUMMYFUNCTION("IF(REGEXMATCH(I645,""Cari Kerja""),1,0)
"),1.0)</f>
        <v>1</v>
      </c>
      <c r="N645" s="6">
        <f>IFERROR(__xludf.DUMMYFUNCTION("IF(REGEXMATCH(I645,""Upskill""),1,0)
"),0.0)</f>
        <v>0</v>
      </c>
      <c r="O645" s="6">
        <f>IFERROR(__xludf.DUMMYFUNCTION("IF(REGEXMATCH(I645,""Networking""),1,0)
"),0.0)</f>
        <v>0</v>
      </c>
      <c r="P645" s="6">
        <f>IFERROR(__xludf.DUMMYFUNCTION("IF(REGEXMATCH(I645,""Switch Career""),1,0)
"),0.0)</f>
        <v>0</v>
      </c>
    </row>
    <row r="646" ht="22.5" customHeight="1">
      <c r="A646" s="3">
        <v>46044.22110900463</v>
      </c>
      <c r="B646" s="5" t="s">
        <v>2674</v>
      </c>
      <c r="C646" s="5" t="s">
        <v>2675</v>
      </c>
      <c r="D646" s="4" t="s">
        <v>2676</v>
      </c>
      <c r="E646" s="5" t="s">
        <v>309</v>
      </c>
      <c r="F646" s="5" t="s">
        <v>20</v>
      </c>
      <c r="G646" s="5" t="s">
        <v>2677</v>
      </c>
      <c r="H646" s="5" t="s">
        <v>187</v>
      </c>
      <c r="I646" s="5" t="s">
        <v>31</v>
      </c>
      <c r="J646" s="5" t="s">
        <v>24</v>
      </c>
      <c r="K646" s="6" t="str">
        <f t="shared" si="1"/>
        <v>085850496960</v>
      </c>
      <c r="L646" s="6" t="str">
        <f>IFERROR(
VLOOKUP(
TRIM(
IF(ISNUMBER(FIND(",",E646)),
LEFT(E646,FIND(",",E646)-1),
E646
)
),
master!A:B,
2,
FALSE
),
"Belum ada mapping"
)
</f>
        <v>Jawa Timur</v>
      </c>
      <c r="M646" s="6">
        <f>IFERROR(__xludf.DUMMYFUNCTION("IF(REGEXMATCH(I646,""Cari Kerja""),1,0)
"),1.0)</f>
        <v>1</v>
      </c>
      <c r="N646" s="6">
        <f>IFERROR(__xludf.DUMMYFUNCTION("IF(REGEXMATCH(I646,""Upskill""),1,0)
"),1.0)</f>
        <v>1</v>
      </c>
      <c r="O646" s="6">
        <f>IFERROR(__xludf.DUMMYFUNCTION("IF(REGEXMATCH(I646,""Networking""),1,0)
"),1.0)</f>
        <v>1</v>
      </c>
      <c r="P646" s="6">
        <f>IFERROR(__xludf.DUMMYFUNCTION("IF(REGEXMATCH(I646,""Switch Career""),1,0)
"),1.0)</f>
        <v>1</v>
      </c>
    </row>
    <row r="647" ht="22.5" customHeight="1">
      <c r="A647" s="3">
        <v>46046.331280694445</v>
      </c>
      <c r="B647" s="5" t="s">
        <v>2678</v>
      </c>
      <c r="C647" s="5" t="s">
        <v>2675</v>
      </c>
      <c r="D647" s="4" t="s">
        <v>2676</v>
      </c>
      <c r="E647" s="5" t="s">
        <v>309</v>
      </c>
      <c r="F647" s="5" t="s">
        <v>20</v>
      </c>
      <c r="G647" s="5" t="s">
        <v>2679</v>
      </c>
      <c r="H647" s="5" t="s">
        <v>187</v>
      </c>
      <c r="I647" s="5" t="s">
        <v>31</v>
      </c>
      <c r="J647" s="5" t="s">
        <v>24</v>
      </c>
      <c r="K647" s="6" t="str">
        <f t="shared" si="1"/>
        <v>085850496960</v>
      </c>
      <c r="L647" s="6" t="str">
        <f>IFERROR(
VLOOKUP(
TRIM(
IF(ISNUMBER(FIND(",",E647)),
LEFT(E647,FIND(",",E647)-1),
E647
)
),
master!A:B,
2,
FALSE
),
"Belum ada mapping"
)
</f>
        <v>Jawa Timur</v>
      </c>
      <c r="M647" s="6">
        <f>IFERROR(__xludf.DUMMYFUNCTION("IF(REGEXMATCH(I647,""Cari Kerja""),1,0)
"),1.0)</f>
        <v>1</v>
      </c>
      <c r="N647" s="6">
        <f>IFERROR(__xludf.DUMMYFUNCTION("IF(REGEXMATCH(I647,""Upskill""),1,0)
"),1.0)</f>
        <v>1</v>
      </c>
      <c r="O647" s="6">
        <f>IFERROR(__xludf.DUMMYFUNCTION("IF(REGEXMATCH(I647,""Networking""),1,0)
"),1.0)</f>
        <v>1</v>
      </c>
      <c r="P647" s="6">
        <f>IFERROR(__xludf.DUMMYFUNCTION("IF(REGEXMATCH(I647,""Switch Career""),1,0)
"),1.0)</f>
        <v>1</v>
      </c>
    </row>
    <row r="648" ht="22.5" customHeight="1">
      <c r="A648" s="3">
        <v>46042.40682127315</v>
      </c>
      <c r="B648" s="5" t="s">
        <v>2680</v>
      </c>
      <c r="C648" s="5" t="s">
        <v>2681</v>
      </c>
      <c r="D648" s="4" t="s">
        <v>2682</v>
      </c>
      <c r="E648" s="5" t="s">
        <v>2683</v>
      </c>
      <c r="F648" s="5" t="s">
        <v>20</v>
      </c>
      <c r="G648" s="5" t="s">
        <v>2684</v>
      </c>
      <c r="H648" s="5" t="s">
        <v>58</v>
      </c>
      <c r="I648" s="5" t="s">
        <v>31</v>
      </c>
      <c r="J648" s="5" t="s">
        <v>24</v>
      </c>
      <c r="K648" s="6" t="str">
        <f t="shared" si="1"/>
        <v>082237224858</v>
      </c>
      <c r="L648" s="6" t="str">
        <f>IFERROR(
VLOOKUP(
TRIM(
IF(ISNUMBER(FIND(",",E648)),
LEFT(E648,FIND(",",E648)-1),
E648
)
),
master!A:B,
2,
FALSE
),
"Belum ada mapping"
)
</f>
        <v>Jawa Tengah</v>
      </c>
      <c r="M648" s="6">
        <f>IFERROR(__xludf.DUMMYFUNCTION("IF(REGEXMATCH(I648,""Cari Kerja""),1,0)
"),1.0)</f>
        <v>1</v>
      </c>
      <c r="N648" s="6">
        <f>IFERROR(__xludf.DUMMYFUNCTION("IF(REGEXMATCH(I648,""Upskill""),1,0)
"),1.0)</f>
        <v>1</v>
      </c>
      <c r="O648" s="6">
        <f>IFERROR(__xludf.DUMMYFUNCTION("IF(REGEXMATCH(I648,""Networking""),1,0)
"),1.0)</f>
        <v>1</v>
      </c>
      <c r="P648" s="6">
        <f>IFERROR(__xludf.DUMMYFUNCTION("IF(REGEXMATCH(I648,""Switch Career""),1,0)
"),1.0)</f>
        <v>1</v>
      </c>
    </row>
    <row r="649" ht="22.5" customHeight="1">
      <c r="A649" s="7">
        <v>46040.34733575232</v>
      </c>
      <c r="B649" s="8" t="s">
        <v>2685</v>
      </c>
      <c r="C649" s="8" t="s">
        <v>2686</v>
      </c>
      <c r="D649" s="9" t="s">
        <v>2687</v>
      </c>
      <c r="E649" s="8" t="s">
        <v>92</v>
      </c>
      <c r="F649" s="8" t="s">
        <v>20</v>
      </c>
      <c r="G649" s="8" t="s">
        <v>69</v>
      </c>
      <c r="H649" s="8" t="s">
        <v>209</v>
      </c>
      <c r="I649" s="8" t="s">
        <v>31</v>
      </c>
      <c r="J649" s="8" t="s">
        <v>24</v>
      </c>
      <c r="K649" s="6" t="str">
        <f t="shared" si="1"/>
        <v>085156689081</v>
      </c>
      <c r="L649" s="6" t="str">
        <f>IFERROR(
VLOOKUP(
TRIM(
IF(ISNUMBER(FIND(",",E649)),
LEFT(E649,FIND(",",E649)-1),
E649
)
),
master!A:B,
2,
FALSE
),
"Belum ada mapping"
)
</f>
        <v>Jawa Barat</v>
      </c>
      <c r="M649" s="6">
        <f>IFERROR(__xludf.DUMMYFUNCTION("IF(REGEXMATCH(I649,""Cari Kerja""),1,0)
"),1.0)</f>
        <v>1</v>
      </c>
      <c r="N649" s="6">
        <f>IFERROR(__xludf.DUMMYFUNCTION("IF(REGEXMATCH(I649,""Upskill""),1,0)
"),1.0)</f>
        <v>1</v>
      </c>
      <c r="O649" s="6">
        <f>IFERROR(__xludf.DUMMYFUNCTION("IF(REGEXMATCH(I649,""Networking""),1,0)
"),1.0)</f>
        <v>1</v>
      </c>
      <c r="P649" s="6">
        <f>IFERROR(__xludf.DUMMYFUNCTION("IF(REGEXMATCH(I649,""Switch Career""),1,0)
"),1.0)</f>
        <v>1</v>
      </c>
    </row>
    <row r="650" ht="22.5" customHeight="1">
      <c r="A650" s="3">
        <v>46043.41418107639</v>
      </c>
      <c r="B650" s="5" t="s">
        <v>2688</v>
      </c>
      <c r="C650" s="5" t="s">
        <v>2689</v>
      </c>
      <c r="D650" s="4" t="s">
        <v>2690</v>
      </c>
      <c r="E650" s="5" t="s">
        <v>118</v>
      </c>
      <c r="F650" s="5" t="s">
        <v>20</v>
      </c>
      <c r="G650" s="5" t="s">
        <v>149</v>
      </c>
      <c r="H650" s="5" t="s">
        <v>606</v>
      </c>
      <c r="I650" s="5" t="s">
        <v>130</v>
      </c>
      <c r="J650" s="5" t="s">
        <v>24</v>
      </c>
      <c r="K650" s="6" t="str">
        <f t="shared" si="1"/>
        <v>085735065174</v>
      </c>
      <c r="L650" s="6" t="str">
        <f>IFERROR(
VLOOKUP(
TRIM(
IF(ISNUMBER(FIND(",",E650)),
LEFT(E650,FIND(",",E650)-1),
E650
)
),
master!A:B,
2,
FALSE
),
"Belum ada mapping"
)
</f>
        <v>Jawa Timur</v>
      </c>
      <c r="M650" s="6">
        <f>IFERROR(__xludf.DUMMYFUNCTION("IF(REGEXMATCH(I650,""Cari Kerja""),1,0)
"),1.0)</f>
        <v>1</v>
      </c>
      <c r="N650" s="6">
        <f>IFERROR(__xludf.DUMMYFUNCTION("IF(REGEXMATCH(I650,""Upskill""),1,0)
"),1.0)</f>
        <v>1</v>
      </c>
      <c r="O650" s="6">
        <f>IFERROR(__xludf.DUMMYFUNCTION("IF(REGEXMATCH(I650,""Networking""),1,0)
"),0.0)</f>
        <v>0</v>
      </c>
      <c r="P650" s="6">
        <f>IFERROR(__xludf.DUMMYFUNCTION("IF(REGEXMATCH(I650,""Switch Career""),1,0)
"),0.0)</f>
        <v>0</v>
      </c>
    </row>
    <row r="651" ht="22.5" customHeight="1">
      <c r="A651" s="3">
        <v>46041.67904613426</v>
      </c>
      <c r="B651" s="5" t="s">
        <v>2691</v>
      </c>
      <c r="C651" s="5" t="s">
        <v>2692</v>
      </c>
      <c r="D651" s="4" t="s">
        <v>2693</v>
      </c>
      <c r="E651" s="5" t="s">
        <v>174</v>
      </c>
      <c r="F651" s="5" t="s">
        <v>49</v>
      </c>
      <c r="G651" s="5" t="s">
        <v>2694</v>
      </c>
      <c r="H651" s="5" t="s">
        <v>87</v>
      </c>
      <c r="I651" s="5" t="s">
        <v>59</v>
      </c>
      <c r="J651" s="5" t="s">
        <v>24</v>
      </c>
      <c r="K651" s="6" t="str">
        <f t="shared" si="1"/>
        <v>082233290840</v>
      </c>
      <c r="L651" s="6" t="str">
        <f>IFERROR(
VLOOKUP(
TRIM(
IF(ISNUMBER(FIND(",",E651)),
LEFT(E651,FIND(",",E651)-1),
E651
)
),
master!A:B,
2,
FALSE
),
"Belum ada mapping"
)
</f>
        <v>Jawa Timur</v>
      </c>
      <c r="M651" s="6">
        <f>IFERROR(__xludf.DUMMYFUNCTION("IF(REGEXMATCH(I651,""Cari Kerja""),1,0)
"),0.0)</f>
        <v>0</v>
      </c>
      <c r="N651" s="6">
        <f>IFERROR(__xludf.DUMMYFUNCTION("IF(REGEXMATCH(I651,""Upskill""),1,0)
"),1.0)</f>
        <v>1</v>
      </c>
      <c r="O651" s="6">
        <f>IFERROR(__xludf.DUMMYFUNCTION("IF(REGEXMATCH(I651,""Networking""),1,0)
"),1.0)</f>
        <v>1</v>
      </c>
      <c r="P651" s="6">
        <f>IFERROR(__xludf.DUMMYFUNCTION("IF(REGEXMATCH(I651,""Switch Career""),1,0)
"),0.0)</f>
        <v>0</v>
      </c>
    </row>
    <row r="652" ht="22.5" customHeight="1">
      <c r="A652" s="3">
        <v>46046.4825399074</v>
      </c>
      <c r="B652" s="5" t="s">
        <v>2695</v>
      </c>
      <c r="C652" s="5" t="s">
        <v>2696</v>
      </c>
      <c r="D652" s="4" t="s">
        <v>2697</v>
      </c>
      <c r="E652" s="5" t="s">
        <v>218</v>
      </c>
      <c r="F652" s="5" t="s">
        <v>49</v>
      </c>
      <c r="G652" s="5" t="s">
        <v>2698</v>
      </c>
      <c r="H652" s="5" t="s">
        <v>51</v>
      </c>
      <c r="I652" s="5" t="s">
        <v>23</v>
      </c>
      <c r="J652" s="5" t="s">
        <v>24</v>
      </c>
      <c r="K652" s="6" t="str">
        <f t="shared" si="1"/>
        <v>081990063818</v>
      </c>
      <c r="L652" s="6" t="str">
        <f>IFERROR(
VLOOKUP(
TRIM(
IF(ISNUMBER(FIND(",",E652)),
LEFT(E652,FIND(",",E652)-1),
E652
)
),
master!A:B,
2,
FALSE
),
"Belum ada mapping"
)
</f>
        <v>Banten</v>
      </c>
      <c r="M652" s="6">
        <f>IFERROR(__xludf.DUMMYFUNCTION("IF(REGEXMATCH(I652,""Cari Kerja""),1,0)
"),1.0)</f>
        <v>1</v>
      </c>
      <c r="N652" s="6">
        <f>IFERROR(__xludf.DUMMYFUNCTION("IF(REGEXMATCH(I652,""Upskill""),1,0)
"),1.0)</f>
        <v>1</v>
      </c>
      <c r="O652" s="6">
        <f>IFERROR(__xludf.DUMMYFUNCTION("IF(REGEXMATCH(I652,""Networking""),1,0)
"),1.0)</f>
        <v>1</v>
      </c>
      <c r="P652" s="6">
        <f>IFERROR(__xludf.DUMMYFUNCTION("IF(REGEXMATCH(I652,""Switch Career""),1,0)
"),0.0)</f>
        <v>0</v>
      </c>
    </row>
    <row r="653" ht="22.5" customHeight="1">
      <c r="A653" s="7">
        <v>46040.35117864583</v>
      </c>
      <c r="B653" s="8" t="s">
        <v>2699</v>
      </c>
      <c r="C653" s="8" t="s">
        <v>2696</v>
      </c>
      <c r="D653" s="9" t="s">
        <v>2697</v>
      </c>
      <c r="E653" s="8" t="s">
        <v>2700</v>
      </c>
      <c r="F653" s="8" t="s">
        <v>49</v>
      </c>
      <c r="G653" s="8" t="s">
        <v>267</v>
      </c>
      <c r="H653" s="8" t="s">
        <v>51</v>
      </c>
      <c r="I653" s="8" t="s">
        <v>31</v>
      </c>
      <c r="J653" s="8" t="s">
        <v>24</v>
      </c>
      <c r="K653" s="6" t="str">
        <f t="shared" si="1"/>
        <v>081990063818</v>
      </c>
      <c r="L653" s="6" t="str">
        <f>IFERROR(
VLOOKUP(
TRIM(
IF(ISNUMBER(FIND(",",E653)),
LEFT(E653,FIND(",",E653)-1),
E653
)
),
master!A:B,
2,
FALSE
),
"Belum ada mapping"
)
</f>
        <v>Banten</v>
      </c>
      <c r="M653" s="6">
        <f>IFERROR(__xludf.DUMMYFUNCTION("IF(REGEXMATCH(I653,""Cari Kerja""),1,0)
"),1.0)</f>
        <v>1</v>
      </c>
      <c r="N653" s="6">
        <f>IFERROR(__xludf.DUMMYFUNCTION("IF(REGEXMATCH(I653,""Upskill""),1,0)
"),1.0)</f>
        <v>1</v>
      </c>
      <c r="O653" s="6">
        <f>IFERROR(__xludf.DUMMYFUNCTION("IF(REGEXMATCH(I653,""Networking""),1,0)
"),1.0)</f>
        <v>1</v>
      </c>
      <c r="P653" s="6">
        <f>IFERROR(__xludf.DUMMYFUNCTION("IF(REGEXMATCH(I653,""Switch Career""),1,0)
"),1.0)</f>
        <v>1</v>
      </c>
    </row>
    <row r="654" ht="22.5" customHeight="1">
      <c r="A654" s="7">
        <v>46040.35503332176</v>
      </c>
      <c r="B654" s="8" t="s">
        <v>2701</v>
      </c>
      <c r="C654" s="8" t="s">
        <v>2702</v>
      </c>
      <c r="D654" s="9" t="s">
        <v>2703</v>
      </c>
      <c r="E654" s="8" t="s">
        <v>385</v>
      </c>
      <c r="F654" s="8" t="s">
        <v>20</v>
      </c>
      <c r="G654" s="8" t="s">
        <v>2704</v>
      </c>
      <c r="H654" s="8" t="s">
        <v>51</v>
      </c>
      <c r="I654" s="8" t="s">
        <v>31</v>
      </c>
      <c r="J654" s="8" t="s">
        <v>24</v>
      </c>
      <c r="K654" s="6" t="str">
        <f t="shared" si="1"/>
        <v>081255057705</v>
      </c>
      <c r="L654" s="6" t="str">
        <f>IFERROR(
VLOOKUP(
TRIM(
IF(ISNUMBER(FIND(",",E654)),
LEFT(E654,FIND(",",E654)-1),
E654
)
),
master!A:B,
2,
FALSE
),
"Belum ada mapping"
)
</f>
        <v>Kalimantan Timur</v>
      </c>
      <c r="M654" s="6">
        <f>IFERROR(__xludf.DUMMYFUNCTION("IF(REGEXMATCH(I654,""Cari Kerja""),1,0)
"),1.0)</f>
        <v>1</v>
      </c>
      <c r="N654" s="6">
        <f>IFERROR(__xludf.DUMMYFUNCTION("IF(REGEXMATCH(I654,""Upskill""),1,0)
"),1.0)</f>
        <v>1</v>
      </c>
      <c r="O654" s="6">
        <f>IFERROR(__xludf.DUMMYFUNCTION("IF(REGEXMATCH(I654,""Networking""),1,0)
"),1.0)</f>
        <v>1</v>
      </c>
      <c r="P654" s="6">
        <f>IFERROR(__xludf.DUMMYFUNCTION("IF(REGEXMATCH(I654,""Switch Career""),1,0)
"),1.0)</f>
        <v>1</v>
      </c>
    </row>
    <row r="655" ht="22.5" customHeight="1">
      <c r="A655" s="3">
        <v>46064.43857748843</v>
      </c>
      <c r="B655" s="5" t="s">
        <v>2705</v>
      </c>
      <c r="C655" s="5" t="s">
        <v>2706</v>
      </c>
      <c r="D655" s="4" t="s">
        <v>2707</v>
      </c>
      <c r="E655" s="5" t="s">
        <v>596</v>
      </c>
      <c r="F655" s="5" t="s">
        <v>49</v>
      </c>
      <c r="G655" s="5" t="s">
        <v>2708</v>
      </c>
      <c r="H655" s="5" t="s">
        <v>51</v>
      </c>
      <c r="I655" s="5" t="s">
        <v>52</v>
      </c>
      <c r="J655" s="5" t="s">
        <v>24</v>
      </c>
      <c r="K655" s="10" t="str">
        <f t="shared" si="1"/>
        <v>082141296879</v>
      </c>
      <c r="L655" s="10" t="str">
        <f>IFERROR(
VLOOKUP(
TRIM(
IF(ISNUMBER(FIND(",",E655)),
LEFT(E655,FIND(",",E655)-1),
E655
)
),
master!A:B,
2,
FALSE
),
"Belum ada mapping"
)
</f>
        <v>Jawa Timur</v>
      </c>
      <c r="M655" s="10">
        <f>IFERROR(__xludf.DUMMYFUNCTION("IF(REGEXMATCH(I655,""Cari Kerja""),1,0)
"),0.0)</f>
        <v>0</v>
      </c>
      <c r="N655" s="10">
        <f>IFERROR(__xludf.DUMMYFUNCTION("IF(REGEXMATCH(I655,""Upskill""),1,0)
"),1.0)</f>
        <v>1</v>
      </c>
      <c r="O655" s="10">
        <f>IFERROR(__xludf.DUMMYFUNCTION("IF(REGEXMATCH(I655,""Networking""),1,0)
"),1.0)</f>
        <v>1</v>
      </c>
      <c r="P655" s="10">
        <f>IFERROR(__xludf.DUMMYFUNCTION("IF(REGEXMATCH(I655,""Switch Career""),1,0)
"),1.0)</f>
        <v>1</v>
      </c>
    </row>
    <row r="656" ht="22.5" customHeight="1">
      <c r="A656" s="3">
        <v>46042.63220170139</v>
      </c>
      <c r="B656" s="5" t="s">
        <v>2709</v>
      </c>
      <c r="C656" s="5" t="s">
        <v>2710</v>
      </c>
      <c r="D656" s="4" t="s">
        <v>2711</v>
      </c>
      <c r="E656" s="5" t="s">
        <v>218</v>
      </c>
      <c r="F656" s="5" t="s">
        <v>49</v>
      </c>
      <c r="G656" s="5" t="s">
        <v>2712</v>
      </c>
      <c r="H656" s="5" t="s">
        <v>209</v>
      </c>
      <c r="I656" s="5" t="s">
        <v>31</v>
      </c>
      <c r="J656" s="5" t="s">
        <v>24</v>
      </c>
      <c r="K656" s="6" t="str">
        <f t="shared" si="1"/>
        <v>082171276129</v>
      </c>
      <c r="L656" s="6" t="str">
        <f>IFERROR(
VLOOKUP(
TRIM(
IF(ISNUMBER(FIND(",",E656)),
LEFT(E656,FIND(",",E656)-1),
E656
)
),
master!A:B,
2,
FALSE
),
"Belum ada mapping"
)
</f>
        <v>Banten</v>
      </c>
      <c r="M656" s="6">
        <f>IFERROR(__xludf.DUMMYFUNCTION("IF(REGEXMATCH(I656,""Cari Kerja""),1,0)
"),1.0)</f>
        <v>1</v>
      </c>
      <c r="N656" s="6">
        <f>IFERROR(__xludf.DUMMYFUNCTION("IF(REGEXMATCH(I656,""Upskill""),1,0)
"),1.0)</f>
        <v>1</v>
      </c>
      <c r="O656" s="6">
        <f>IFERROR(__xludf.DUMMYFUNCTION("IF(REGEXMATCH(I656,""Networking""),1,0)
"),1.0)</f>
        <v>1</v>
      </c>
      <c r="P656" s="6">
        <f>IFERROR(__xludf.DUMMYFUNCTION("IF(REGEXMATCH(I656,""Switch Career""),1,0)
"),1.0)</f>
        <v>1</v>
      </c>
    </row>
    <row r="657" ht="22.5" customHeight="1">
      <c r="A657" s="3">
        <v>46043.26770167824</v>
      </c>
      <c r="B657" s="5" t="s">
        <v>2713</v>
      </c>
      <c r="C657" s="5" t="s">
        <v>2714</v>
      </c>
      <c r="D657" s="4" t="s">
        <v>2715</v>
      </c>
      <c r="E657" s="5" t="s">
        <v>174</v>
      </c>
      <c r="F657" s="5" t="s">
        <v>20</v>
      </c>
      <c r="G657" s="5" t="s">
        <v>2716</v>
      </c>
      <c r="H657" s="5" t="s">
        <v>51</v>
      </c>
      <c r="I657" s="5" t="s">
        <v>31</v>
      </c>
      <c r="J657" s="5" t="s">
        <v>76</v>
      </c>
      <c r="K657" s="6" t="str">
        <f t="shared" si="1"/>
        <v>089690177411</v>
      </c>
      <c r="L657" s="6" t="str">
        <f>IFERROR(
VLOOKUP(
TRIM(
IF(ISNUMBER(FIND(",",E657)),
LEFT(E657,FIND(",",E657)-1),
E657
)
),
master!A:B,
2,
FALSE
),
"Belum ada mapping"
)
</f>
        <v>Jawa Timur</v>
      </c>
      <c r="M657" s="6">
        <f>IFERROR(__xludf.DUMMYFUNCTION("IF(REGEXMATCH(I657,""Cari Kerja""),1,0)
"),1.0)</f>
        <v>1</v>
      </c>
      <c r="N657" s="6">
        <f>IFERROR(__xludf.DUMMYFUNCTION("IF(REGEXMATCH(I657,""Upskill""),1,0)
"),1.0)</f>
        <v>1</v>
      </c>
      <c r="O657" s="6">
        <f>IFERROR(__xludf.DUMMYFUNCTION("IF(REGEXMATCH(I657,""Networking""),1,0)
"),1.0)</f>
        <v>1</v>
      </c>
      <c r="P657" s="6">
        <f>IFERROR(__xludf.DUMMYFUNCTION("IF(REGEXMATCH(I657,""Switch Career""),1,0)
"),1.0)</f>
        <v>1</v>
      </c>
    </row>
    <row r="658" ht="22.5" customHeight="1">
      <c r="A658" s="3">
        <v>46047.76431975694</v>
      </c>
      <c r="B658" s="5" t="s">
        <v>2717</v>
      </c>
      <c r="C658" s="5" t="s">
        <v>2718</v>
      </c>
      <c r="D658" s="4" t="s">
        <v>2719</v>
      </c>
      <c r="E658" s="5" t="s">
        <v>207</v>
      </c>
      <c r="F658" s="5" t="s">
        <v>49</v>
      </c>
      <c r="G658" s="5" t="s">
        <v>2720</v>
      </c>
      <c r="H658" s="5" t="s">
        <v>51</v>
      </c>
      <c r="I658" s="5" t="s">
        <v>59</v>
      </c>
      <c r="J658" s="5" t="s">
        <v>24</v>
      </c>
      <c r="K658" s="6" t="str">
        <f t="shared" si="1"/>
        <v>082125843536</v>
      </c>
      <c r="L658" s="6" t="str">
        <f>IFERROR(
VLOOKUP(
TRIM(
IF(ISNUMBER(FIND(",",E658)),
LEFT(E658,FIND(",",E658)-1),
E658
)
),
master!A:B,
2,
FALSE
),
"Belum ada mapping"
)
</f>
        <v>Jakarta</v>
      </c>
      <c r="M658" s="6">
        <f>IFERROR(__xludf.DUMMYFUNCTION("IF(REGEXMATCH(I658,""Cari Kerja""),1,0)
"),0.0)</f>
        <v>0</v>
      </c>
      <c r="N658" s="6">
        <f>IFERROR(__xludf.DUMMYFUNCTION("IF(REGEXMATCH(I658,""Upskill""),1,0)
"),1.0)</f>
        <v>1</v>
      </c>
      <c r="O658" s="6">
        <f>IFERROR(__xludf.DUMMYFUNCTION("IF(REGEXMATCH(I658,""Networking""),1,0)
"),1.0)</f>
        <v>1</v>
      </c>
      <c r="P658" s="6">
        <f>IFERROR(__xludf.DUMMYFUNCTION("IF(REGEXMATCH(I658,""Switch Career""),1,0)
"),0.0)</f>
        <v>0</v>
      </c>
    </row>
    <row r="659" ht="22.5" customHeight="1">
      <c r="A659" s="3">
        <v>46042.551482696756</v>
      </c>
      <c r="B659" s="5" t="s">
        <v>2721</v>
      </c>
      <c r="C659" s="5" t="s">
        <v>2722</v>
      </c>
      <c r="D659" s="4" t="s">
        <v>2723</v>
      </c>
      <c r="E659" s="5" t="s">
        <v>2724</v>
      </c>
      <c r="F659" s="5" t="s">
        <v>20</v>
      </c>
      <c r="G659" s="5" t="s">
        <v>2725</v>
      </c>
      <c r="H659" s="5" t="s">
        <v>346</v>
      </c>
      <c r="I659" s="5" t="s">
        <v>59</v>
      </c>
      <c r="J659" s="5" t="s">
        <v>24</v>
      </c>
      <c r="K659" s="6" t="str">
        <f t="shared" si="1"/>
        <v>087729476992</v>
      </c>
      <c r="L659" s="6" t="str">
        <f>IFERROR(
VLOOKUP(
TRIM(
IF(ISNUMBER(FIND(",",E659)),
LEFT(E659,FIND(",",E659)-1),
E659
)
),
master!A:B,
2,
FALSE
),
"Belum ada mapping"
)
</f>
        <v>DI Yogyakarta</v>
      </c>
      <c r="M659" s="6">
        <f>IFERROR(__xludf.DUMMYFUNCTION("IF(REGEXMATCH(I659,""Cari Kerja""),1,0)
"),0.0)</f>
        <v>0</v>
      </c>
      <c r="N659" s="6">
        <f>IFERROR(__xludf.DUMMYFUNCTION("IF(REGEXMATCH(I659,""Upskill""),1,0)
"),1.0)</f>
        <v>1</v>
      </c>
      <c r="O659" s="6">
        <f>IFERROR(__xludf.DUMMYFUNCTION("IF(REGEXMATCH(I659,""Networking""),1,0)
"),1.0)</f>
        <v>1</v>
      </c>
      <c r="P659" s="6">
        <f>IFERROR(__xludf.DUMMYFUNCTION("IF(REGEXMATCH(I659,""Switch Career""),1,0)
"),0.0)</f>
        <v>0</v>
      </c>
    </row>
    <row r="660" ht="22.5" customHeight="1">
      <c r="A660" s="3">
        <v>46049.34083703704</v>
      </c>
      <c r="B660" s="5" t="s">
        <v>2726</v>
      </c>
      <c r="C660" s="5" t="s">
        <v>2727</v>
      </c>
      <c r="D660" s="4" t="s">
        <v>2728</v>
      </c>
      <c r="E660" s="5" t="s">
        <v>551</v>
      </c>
      <c r="F660" s="5" t="s">
        <v>20</v>
      </c>
      <c r="G660" s="5" t="s">
        <v>21</v>
      </c>
      <c r="H660" s="5" t="s">
        <v>51</v>
      </c>
      <c r="I660" s="5" t="s">
        <v>23</v>
      </c>
      <c r="J660" s="5" t="s">
        <v>24</v>
      </c>
      <c r="K660" s="6" t="str">
        <f t="shared" si="1"/>
        <v>082181771280</v>
      </c>
      <c r="L660" s="6" t="str">
        <f>IFERROR(
VLOOKUP(
TRIM(
IF(ISNUMBER(FIND(",",E660)),
LEFT(E660,FIND(",",E660)-1),
E660
)
),
master!A:B,
2,
FALSE
),
"Belum ada mapping"
)
</f>
        <v>Jawa Barat</v>
      </c>
      <c r="M660" s="6">
        <f>IFERROR(__xludf.DUMMYFUNCTION("IF(REGEXMATCH(I660,""Cari Kerja""),1,0)
"),1.0)</f>
        <v>1</v>
      </c>
      <c r="N660" s="6">
        <f>IFERROR(__xludf.DUMMYFUNCTION("IF(REGEXMATCH(I660,""Upskill""),1,0)
"),1.0)</f>
        <v>1</v>
      </c>
      <c r="O660" s="6">
        <f>IFERROR(__xludf.DUMMYFUNCTION("IF(REGEXMATCH(I660,""Networking""),1,0)
"),1.0)</f>
        <v>1</v>
      </c>
      <c r="P660" s="6">
        <f>IFERROR(__xludf.DUMMYFUNCTION("IF(REGEXMATCH(I660,""Switch Career""),1,0)
"),0.0)</f>
        <v>0</v>
      </c>
    </row>
    <row r="661" ht="22.5" customHeight="1">
      <c r="A661" s="3">
        <v>46042.00191065972</v>
      </c>
      <c r="B661" s="5" t="s">
        <v>2729</v>
      </c>
      <c r="C661" s="5" t="s">
        <v>2730</v>
      </c>
      <c r="D661" s="4" t="s">
        <v>2731</v>
      </c>
      <c r="E661" s="5" t="s">
        <v>1010</v>
      </c>
      <c r="F661" s="5" t="s">
        <v>20</v>
      </c>
      <c r="G661" s="5" t="s">
        <v>21</v>
      </c>
      <c r="H661" s="5" t="s">
        <v>2163</v>
      </c>
      <c r="I661" s="5" t="s">
        <v>31</v>
      </c>
      <c r="J661" s="5" t="s">
        <v>24</v>
      </c>
      <c r="K661" s="6" t="str">
        <f t="shared" si="1"/>
        <v>085772503044</v>
      </c>
      <c r="L661" s="6" t="str">
        <f>IFERROR(
VLOOKUP(
TRIM(
IF(ISNUMBER(FIND(",",E661)),
LEFT(E661,FIND(",",E661)-1),
E661
)
),
master!A:B,
2,
FALSE
),
"Belum ada mapping"
)
</f>
        <v>Jawa Barat</v>
      </c>
      <c r="M661" s="6">
        <f>IFERROR(__xludf.DUMMYFUNCTION("IF(REGEXMATCH(I661,""Cari Kerja""),1,0)
"),1.0)</f>
        <v>1</v>
      </c>
      <c r="N661" s="6">
        <f>IFERROR(__xludf.DUMMYFUNCTION("IF(REGEXMATCH(I661,""Upskill""),1,0)
"),1.0)</f>
        <v>1</v>
      </c>
      <c r="O661" s="6">
        <f>IFERROR(__xludf.DUMMYFUNCTION("IF(REGEXMATCH(I661,""Networking""),1,0)
"),1.0)</f>
        <v>1</v>
      </c>
      <c r="P661" s="6">
        <f>IFERROR(__xludf.DUMMYFUNCTION("IF(REGEXMATCH(I661,""Switch Career""),1,0)
"),1.0)</f>
        <v>1</v>
      </c>
    </row>
    <row r="662" ht="22.5" customHeight="1">
      <c r="A662" s="3">
        <v>46042.344919641204</v>
      </c>
      <c r="B662" s="5" t="s">
        <v>2732</v>
      </c>
      <c r="C662" s="5" t="s">
        <v>2733</v>
      </c>
      <c r="D662" s="4" t="s">
        <v>2734</v>
      </c>
      <c r="E662" s="5" t="s">
        <v>19</v>
      </c>
      <c r="F662" s="5" t="s">
        <v>49</v>
      </c>
      <c r="G662" s="5" t="s">
        <v>2735</v>
      </c>
      <c r="H662" s="5" t="s">
        <v>51</v>
      </c>
      <c r="I662" s="5" t="s">
        <v>31</v>
      </c>
      <c r="J662" s="5" t="s">
        <v>24</v>
      </c>
      <c r="K662" s="6" t="str">
        <f t="shared" si="1"/>
        <v>083156790966</v>
      </c>
      <c r="L662" s="6" t="str">
        <f>IFERROR(
VLOOKUP(
TRIM(
IF(ISNUMBER(FIND(",",E662)),
LEFT(E662,FIND(",",E662)-1),
E662
)
),
master!A:B,
2,
FALSE
),
"Belum ada mapping"
)
</f>
        <v>Jawa Tengah</v>
      </c>
      <c r="M662" s="6">
        <f>IFERROR(__xludf.DUMMYFUNCTION("IF(REGEXMATCH(I662,""Cari Kerja""),1,0)
"),1.0)</f>
        <v>1</v>
      </c>
      <c r="N662" s="6">
        <f>IFERROR(__xludf.DUMMYFUNCTION("IF(REGEXMATCH(I662,""Upskill""),1,0)
"),1.0)</f>
        <v>1</v>
      </c>
      <c r="O662" s="6">
        <f>IFERROR(__xludf.DUMMYFUNCTION("IF(REGEXMATCH(I662,""Networking""),1,0)
"),1.0)</f>
        <v>1</v>
      </c>
      <c r="P662" s="6">
        <f>IFERROR(__xludf.DUMMYFUNCTION("IF(REGEXMATCH(I662,""Switch Career""),1,0)
"),1.0)</f>
        <v>1</v>
      </c>
    </row>
    <row r="663" ht="22.5" customHeight="1">
      <c r="A663" s="3">
        <v>46051.82813076389</v>
      </c>
      <c r="B663" s="5" t="s">
        <v>2736</v>
      </c>
      <c r="C663" s="5" t="s">
        <v>2737</v>
      </c>
      <c r="D663" s="4" t="s">
        <v>2738</v>
      </c>
      <c r="E663" s="5" t="s">
        <v>74</v>
      </c>
      <c r="F663" s="5" t="s">
        <v>49</v>
      </c>
      <c r="G663" s="5" t="s">
        <v>2739</v>
      </c>
      <c r="H663" s="5" t="s">
        <v>136</v>
      </c>
      <c r="I663" s="5" t="s">
        <v>31</v>
      </c>
      <c r="J663" s="5" t="s">
        <v>24</v>
      </c>
      <c r="K663" s="10" t="str">
        <f t="shared" si="1"/>
        <v>083897420861</v>
      </c>
      <c r="L663" s="10" t="str">
        <f>IFERROR(
VLOOKUP(
TRIM(
IF(ISNUMBER(FIND(",",E663)),
LEFT(E663,FIND(",",E663)-1),
E663
)
),
master!A:B,
2,
FALSE
),
"Belum ada mapping"
)
</f>
        <v>Banten</v>
      </c>
      <c r="M663" s="10">
        <f>IFERROR(__xludf.DUMMYFUNCTION("IF(REGEXMATCH(I663,""Cari Kerja""),1,0)
"),1.0)</f>
        <v>1</v>
      </c>
      <c r="N663" s="10">
        <f>IFERROR(__xludf.DUMMYFUNCTION("IF(REGEXMATCH(I663,""Upskill""),1,0)
"),1.0)</f>
        <v>1</v>
      </c>
      <c r="O663" s="10">
        <f>IFERROR(__xludf.DUMMYFUNCTION("IF(REGEXMATCH(I663,""Networking""),1,0)
"),1.0)</f>
        <v>1</v>
      </c>
      <c r="P663" s="10">
        <f>IFERROR(__xludf.DUMMYFUNCTION("IF(REGEXMATCH(I663,""Switch Career""),1,0)
"),1.0)</f>
        <v>1</v>
      </c>
    </row>
    <row r="664" ht="22.5" customHeight="1">
      <c r="A664" s="3">
        <v>46048.54343363426</v>
      </c>
      <c r="B664" s="5" t="s">
        <v>2740</v>
      </c>
      <c r="C664" s="5" t="s">
        <v>2741</v>
      </c>
      <c r="D664" s="4" t="s">
        <v>2742</v>
      </c>
      <c r="E664" s="5" t="s">
        <v>2743</v>
      </c>
      <c r="F664" s="5" t="s">
        <v>20</v>
      </c>
      <c r="G664" s="5" t="s">
        <v>69</v>
      </c>
      <c r="H664" s="5" t="s">
        <v>58</v>
      </c>
      <c r="I664" s="5" t="s">
        <v>31</v>
      </c>
      <c r="J664" s="5" t="s">
        <v>24</v>
      </c>
      <c r="K664" s="6" t="str">
        <f t="shared" si="1"/>
        <v>089648597199</v>
      </c>
      <c r="L664" s="6" t="str">
        <f>IFERROR(
VLOOKUP(
TRIM(
IF(ISNUMBER(FIND(",",E664)),
LEFT(E664,FIND(",",E664)-1),
E664
)
),
master!A:B,
2,
FALSE
),
"Belum ada mapping"
)
</f>
        <v>Lampung</v>
      </c>
      <c r="M664" s="6">
        <f>IFERROR(__xludf.DUMMYFUNCTION("IF(REGEXMATCH(I664,""Cari Kerja""),1,0)
"),1.0)</f>
        <v>1</v>
      </c>
      <c r="N664" s="6">
        <f>IFERROR(__xludf.DUMMYFUNCTION("IF(REGEXMATCH(I664,""Upskill""),1,0)
"),1.0)</f>
        <v>1</v>
      </c>
      <c r="O664" s="6">
        <f>IFERROR(__xludf.DUMMYFUNCTION("IF(REGEXMATCH(I664,""Networking""),1,0)
"),1.0)</f>
        <v>1</v>
      </c>
      <c r="P664" s="6">
        <f>IFERROR(__xludf.DUMMYFUNCTION("IF(REGEXMATCH(I664,""Switch Career""),1,0)
"),1.0)</f>
        <v>1</v>
      </c>
    </row>
    <row r="665" ht="22.5" customHeight="1">
      <c r="A665" s="3">
        <v>46041.843411932874</v>
      </c>
      <c r="B665" s="5" t="s">
        <v>2744</v>
      </c>
      <c r="C665" s="5" t="s">
        <v>2745</v>
      </c>
      <c r="D665" s="4" t="s">
        <v>2746</v>
      </c>
      <c r="E665" s="5" t="s">
        <v>596</v>
      </c>
      <c r="F665" s="5" t="s">
        <v>20</v>
      </c>
      <c r="G665" s="5" t="s">
        <v>1068</v>
      </c>
      <c r="H665" s="5" t="s">
        <v>2747</v>
      </c>
      <c r="I665" s="5" t="s">
        <v>23</v>
      </c>
      <c r="J665" s="5" t="s">
        <v>24</v>
      </c>
      <c r="K665" s="6" t="str">
        <f t="shared" si="1"/>
        <v>085175129039</v>
      </c>
      <c r="L665" s="6" t="str">
        <f>IFERROR(
VLOOKUP(
TRIM(
IF(ISNUMBER(FIND(",",E665)),
LEFT(E665,FIND(",",E665)-1),
E665
)
),
master!A:B,
2,
FALSE
),
"Belum ada mapping"
)
</f>
        <v>Jawa Timur</v>
      </c>
      <c r="M665" s="6">
        <f>IFERROR(__xludf.DUMMYFUNCTION("IF(REGEXMATCH(I665,""Cari Kerja""),1,0)
"),1.0)</f>
        <v>1</v>
      </c>
      <c r="N665" s="6">
        <f>IFERROR(__xludf.DUMMYFUNCTION("IF(REGEXMATCH(I665,""Upskill""),1,0)
"),1.0)</f>
        <v>1</v>
      </c>
      <c r="O665" s="6">
        <f>IFERROR(__xludf.DUMMYFUNCTION("IF(REGEXMATCH(I665,""Networking""),1,0)
"),1.0)</f>
        <v>1</v>
      </c>
      <c r="P665" s="6">
        <f>IFERROR(__xludf.DUMMYFUNCTION("IF(REGEXMATCH(I665,""Switch Career""),1,0)
"),0.0)</f>
        <v>0</v>
      </c>
    </row>
    <row r="666" ht="22.5" customHeight="1">
      <c r="A666" s="3">
        <v>46043.26146862269</v>
      </c>
      <c r="B666" s="5" t="s">
        <v>2748</v>
      </c>
      <c r="C666" s="5" t="s">
        <v>2749</v>
      </c>
      <c r="D666" s="4" t="s">
        <v>2750</v>
      </c>
      <c r="E666" s="5" t="s">
        <v>833</v>
      </c>
      <c r="F666" s="5" t="s">
        <v>20</v>
      </c>
      <c r="G666" s="5" t="s">
        <v>267</v>
      </c>
      <c r="H666" s="5" t="s">
        <v>1643</v>
      </c>
      <c r="I666" s="5" t="s">
        <v>59</v>
      </c>
      <c r="J666" s="5" t="s">
        <v>76</v>
      </c>
      <c r="K666" s="6" t="str">
        <f t="shared" si="1"/>
        <v>085841502513</v>
      </c>
      <c r="L666" s="6" t="str">
        <f>IFERROR(
VLOOKUP(
TRIM(
IF(ISNUMBER(FIND(",",E666)),
LEFT(E666,FIND(",",E666)-1),
E666
)
),
master!A:B,
2,
FALSE
),
"Belum ada mapping"
)
</f>
        <v>Bangka  Belitung</v>
      </c>
      <c r="M666" s="6">
        <f>IFERROR(__xludf.DUMMYFUNCTION("IF(REGEXMATCH(I666,""Cari Kerja""),1,0)
"),0.0)</f>
        <v>0</v>
      </c>
      <c r="N666" s="6">
        <f>IFERROR(__xludf.DUMMYFUNCTION("IF(REGEXMATCH(I666,""Upskill""),1,0)
"),1.0)</f>
        <v>1</v>
      </c>
      <c r="O666" s="6">
        <f>IFERROR(__xludf.DUMMYFUNCTION("IF(REGEXMATCH(I666,""Networking""),1,0)
"),1.0)</f>
        <v>1</v>
      </c>
      <c r="P666" s="6">
        <f>IFERROR(__xludf.DUMMYFUNCTION("IF(REGEXMATCH(I666,""Switch Career""),1,0)
"),0.0)</f>
        <v>0</v>
      </c>
    </row>
    <row r="667" ht="22.5" customHeight="1">
      <c r="A667" s="3">
        <v>46046.56450329861</v>
      </c>
      <c r="B667" s="5" t="s">
        <v>2748</v>
      </c>
      <c r="C667" s="5" t="s">
        <v>2749</v>
      </c>
      <c r="D667" s="4" t="s">
        <v>2750</v>
      </c>
      <c r="E667" s="5" t="s">
        <v>2751</v>
      </c>
      <c r="F667" s="5" t="s">
        <v>20</v>
      </c>
      <c r="G667" s="5" t="s">
        <v>2752</v>
      </c>
      <c r="H667" s="5" t="s">
        <v>582</v>
      </c>
      <c r="I667" s="5" t="s">
        <v>13</v>
      </c>
      <c r="J667" s="5" t="s">
        <v>76</v>
      </c>
      <c r="K667" s="6" t="str">
        <f t="shared" si="1"/>
        <v>085841502513</v>
      </c>
      <c r="L667" s="6" t="str">
        <f>IFERROR(
VLOOKUP(
TRIM(
IF(ISNUMBER(FIND(",",E667)),
LEFT(E667,FIND(",",E667)-1),
E667
)
),
master!A:B,
2,
FALSE
),
"Belum ada mapping"
)
</f>
        <v>Bangka  Belitung</v>
      </c>
      <c r="M667" s="6">
        <f>IFERROR(__xludf.DUMMYFUNCTION("IF(REGEXMATCH(I667,""Cari Kerja""),1,0)
"),0.0)</f>
        <v>0</v>
      </c>
      <c r="N667" s="6">
        <f>IFERROR(__xludf.DUMMYFUNCTION("IF(REGEXMATCH(I667,""Upskill""),1,0)
"),1.0)</f>
        <v>1</v>
      </c>
      <c r="O667" s="6">
        <f>IFERROR(__xludf.DUMMYFUNCTION("IF(REGEXMATCH(I667,""Networking""),1,0)
"),0.0)</f>
        <v>0</v>
      </c>
      <c r="P667" s="6">
        <f>IFERROR(__xludf.DUMMYFUNCTION("IF(REGEXMATCH(I667,""Switch Career""),1,0)
"),0.0)</f>
        <v>0</v>
      </c>
    </row>
    <row r="668" ht="22.5" customHeight="1">
      <c r="A668" s="3">
        <v>46123.568557164355</v>
      </c>
      <c r="B668" s="5" t="s">
        <v>2753</v>
      </c>
      <c r="C668" s="5" t="s">
        <v>2754</v>
      </c>
      <c r="D668" s="4" t="s">
        <v>2755</v>
      </c>
      <c r="E668" s="5" t="s">
        <v>1600</v>
      </c>
      <c r="F668" s="5" t="s">
        <v>20</v>
      </c>
      <c r="G668" s="5" t="s">
        <v>69</v>
      </c>
      <c r="H668" s="5" t="s">
        <v>165</v>
      </c>
      <c r="I668" s="5" t="s">
        <v>13</v>
      </c>
      <c r="J668" s="5" t="s">
        <v>24</v>
      </c>
      <c r="K668" s="10" t="str">
        <f t="shared" si="1"/>
        <v>089513467874</v>
      </c>
      <c r="L668" s="10" t="str">
        <f>IFERROR(
VLOOKUP(
TRIM(
IF(ISNUMBER(FIND(",",E668)),
LEFT(E668,FIND(",",E668)-1),
E668
)
),
master!A:B,
2,
FALSE
),
"Belum ada mapping"
)
</f>
        <v>Kalimantan Selatan</v>
      </c>
      <c r="M668" s="10">
        <f>IFERROR(__xludf.DUMMYFUNCTION("IF(REGEXMATCH(I668,""Cari Kerja""),1,0)
"),0.0)</f>
        <v>0</v>
      </c>
      <c r="N668" s="10">
        <f>IFERROR(__xludf.DUMMYFUNCTION("IF(REGEXMATCH(I668,""Upskill""),1,0)
"),1.0)</f>
        <v>1</v>
      </c>
      <c r="O668" s="10">
        <f>IFERROR(__xludf.DUMMYFUNCTION("IF(REGEXMATCH(I668,""Networking""),1,0)
"),0.0)</f>
        <v>0</v>
      </c>
      <c r="P668" s="10">
        <f>IFERROR(__xludf.DUMMYFUNCTION("IF(REGEXMATCH(I668,""Switch Career""),1,0)
"),0.0)</f>
        <v>0</v>
      </c>
    </row>
    <row r="669" ht="22.5" customHeight="1">
      <c r="A669" s="3">
        <v>46046.34949587963</v>
      </c>
      <c r="B669" s="5" t="s">
        <v>2756</v>
      </c>
      <c r="C669" s="5" t="s">
        <v>2757</v>
      </c>
      <c r="D669" s="4" t="s">
        <v>2758</v>
      </c>
      <c r="E669" s="5" t="s">
        <v>457</v>
      </c>
      <c r="F669" s="5" t="s">
        <v>20</v>
      </c>
      <c r="G669" s="5" t="s">
        <v>2759</v>
      </c>
      <c r="H669" s="5" t="s">
        <v>209</v>
      </c>
      <c r="I669" s="5" t="s">
        <v>31</v>
      </c>
      <c r="J669" s="5" t="s">
        <v>24</v>
      </c>
      <c r="K669" s="6" t="str">
        <f t="shared" si="1"/>
        <v>082377096699</v>
      </c>
      <c r="L669" s="6" t="str">
        <f>IFERROR(
VLOOKUP(
TRIM(
IF(ISNUMBER(FIND(",",E669)),
LEFT(E669,FIND(",",E669)-1),
E669
)
),
master!A:B,
2,
FALSE
),
"Belum ada mapping"
)
</f>
        <v>Lampung</v>
      </c>
      <c r="M669" s="6">
        <f>IFERROR(__xludf.DUMMYFUNCTION("IF(REGEXMATCH(I669,""Cari Kerja""),1,0)
"),1.0)</f>
        <v>1</v>
      </c>
      <c r="N669" s="6">
        <f>IFERROR(__xludf.DUMMYFUNCTION("IF(REGEXMATCH(I669,""Upskill""),1,0)
"),1.0)</f>
        <v>1</v>
      </c>
      <c r="O669" s="6">
        <f>IFERROR(__xludf.DUMMYFUNCTION("IF(REGEXMATCH(I669,""Networking""),1,0)
"),1.0)</f>
        <v>1</v>
      </c>
      <c r="P669" s="6">
        <f>IFERROR(__xludf.DUMMYFUNCTION("IF(REGEXMATCH(I669,""Switch Career""),1,0)
"),1.0)</f>
        <v>1</v>
      </c>
    </row>
    <row r="670" ht="22.5" customHeight="1">
      <c r="A670" s="3">
        <v>46046.81160270833</v>
      </c>
      <c r="B670" s="5" t="s">
        <v>2760</v>
      </c>
      <c r="C670" s="5" t="s">
        <v>2761</v>
      </c>
      <c r="D670" s="4" t="s">
        <v>2762</v>
      </c>
      <c r="E670" s="5" t="s">
        <v>2763</v>
      </c>
      <c r="F670" s="5" t="s">
        <v>49</v>
      </c>
      <c r="G670" s="5" t="s">
        <v>2764</v>
      </c>
      <c r="H670" s="5" t="s">
        <v>439</v>
      </c>
      <c r="I670" s="5" t="s">
        <v>130</v>
      </c>
      <c r="J670" s="5" t="s">
        <v>76</v>
      </c>
      <c r="K670" s="6" t="str">
        <f t="shared" si="1"/>
        <v>0895701801294</v>
      </c>
      <c r="L670" s="6" t="str">
        <f>IFERROR(
VLOOKUP(
TRIM(
IF(ISNUMBER(FIND(",",E670)),
LEFT(E670,FIND(",",E670)-1),
E670
)
),
master!A:B,
2,
FALSE
),
"Belum ada mapping"
)
</f>
        <v>Kalimantan Barat</v>
      </c>
      <c r="M670" s="6">
        <f>IFERROR(__xludf.DUMMYFUNCTION("IF(REGEXMATCH(I670,""Cari Kerja""),1,0)
"),1.0)</f>
        <v>1</v>
      </c>
      <c r="N670" s="6">
        <f>IFERROR(__xludf.DUMMYFUNCTION("IF(REGEXMATCH(I670,""Upskill""),1,0)
"),1.0)</f>
        <v>1</v>
      </c>
      <c r="O670" s="6">
        <f>IFERROR(__xludf.DUMMYFUNCTION("IF(REGEXMATCH(I670,""Networking""),1,0)
"),0.0)</f>
        <v>0</v>
      </c>
      <c r="P670" s="6">
        <f>IFERROR(__xludf.DUMMYFUNCTION("IF(REGEXMATCH(I670,""Switch Career""),1,0)
"),0.0)</f>
        <v>0</v>
      </c>
    </row>
    <row r="671" ht="22.5" customHeight="1">
      <c r="A671" s="3">
        <v>46048.42987310185</v>
      </c>
      <c r="B671" s="5" t="s">
        <v>2765</v>
      </c>
      <c r="C671" s="5" t="s">
        <v>2766</v>
      </c>
      <c r="D671" s="4" t="s">
        <v>2767</v>
      </c>
      <c r="E671" s="5" t="s">
        <v>48</v>
      </c>
      <c r="F671" s="5" t="s">
        <v>49</v>
      </c>
      <c r="G671" s="5" t="s">
        <v>945</v>
      </c>
      <c r="H671" s="5" t="s">
        <v>87</v>
      </c>
      <c r="I671" s="5" t="s">
        <v>13</v>
      </c>
      <c r="J671" s="5" t="s">
        <v>38</v>
      </c>
      <c r="K671" s="6" t="str">
        <f t="shared" si="1"/>
        <v>081392541065</v>
      </c>
      <c r="L671" s="6" t="str">
        <f>IFERROR(
VLOOKUP(
TRIM(
IF(ISNUMBER(FIND(",",E671)),
LEFT(E671,FIND(",",E671)-1),
E671
)
),
master!A:B,
2,
FALSE
),
"Belum ada mapping"
)
</f>
        <v>DI Yogyakarta</v>
      </c>
      <c r="M671" s="6">
        <f>IFERROR(__xludf.DUMMYFUNCTION("IF(REGEXMATCH(I671,""Cari Kerja""),1,0)
"),0.0)</f>
        <v>0</v>
      </c>
      <c r="N671" s="6">
        <f>IFERROR(__xludf.DUMMYFUNCTION("IF(REGEXMATCH(I671,""Upskill""),1,0)
"),1.0)</f>
        <v>1</v>
      </c>
      <c r="O671" s="6">
        <f>IFERROR(__xludf.DUMMYFUNCTION("IF(REGEXMATCH(I671,""Networking""),1,0)
"),0.0)</f>
        <v>0</v>
      </c>
      <c r="P671" s="6">
        <f>IFERROR(__xludf.DUMMYFUNCTION("IF(REGEXMATCH(I671,""Switch Career""),1,0)
"),0.0)</f>
        <v>0</v>
      </c>
    </row>
    <row r="672" ht="22.5" customHeight="1">
      <c r="A672" s="7">
        <v>46040.42858853009</v>
      </c>
      <c r="B672" s="8" t="s">
        <v>2768</v>
      </c>
      <c r="C672" s="8" t="s">
        <v>2769</v>
      </c>
      <c r="D672" s="9" t="s">
        <v>2770</v>
      </c>
      <c r="E672" s="8" t="s">
        <v>551</v>
      </c>
      <c r="F672" s="8" t="s">
        <v>20</v>
      </c>
      <c r="G672" s="8" t="s">
        <v>2771</v>
      </c>
      <c r="H672" s="8" t="s">
        <v>2772</v>
      </c>
      <c r="I672" s="8" t="s">
        <v>31</v>
      </c>
      <c r="J672" s="8" t="s">
        <v>24</v>
      </c>
      <c r="K672" s="6" t="str">
        <f t="shared" si="1"/>
        <v>083896466442</v>
      </c>
      <c r="L672" s="6" t="str">
        <f>IFERROR(
VLOOKUP(
TRIM(
IF(ISNUMBER(FIND(",",E672)),
LEFT(E672,FIND(",",E672)-1),
E672
)
),
master!A:B,
2,
FALSE
),
"Belum ada mapping"
)
</f>
        <v>Jawa Barat</v>
      </c>
      <c r="M672" s="6">
        <f>IFERROR(__xludf.DUMMYFUNCTION("IF(REGEXMATCH(I672,""Cari Kerja""),1,0)
"),1.0)</f>
        <v>1</v>
      </c>
      <c r="N672" s="6">
        <f>IFERROR(__xludf.DUMMYFUNCTION("IF(REGEXMATCH(I672,""Upskill""),1,0)
"),1.0)</f>
        <v>1</v>
      </c>
      <c r="O672" s="6">
        <f>IFERROR(__xludf.DUMMYFUNCTION("IF(REGEXMATCH(I672,""Networking""),1,0)
"),1.0)</f>
        <v>1</v>
      </c>
      <c r="P672" s="6">
        <f>IFERROR(__xludf.DUMMYFUNCTION("IF(REGEXMATCH(I672,""Switch Career""),1,0)
"),1.0)</f>
        <v>1</v>
      </c>
    </row>
    <row r="673" ht="22.5" customHeight="1">
      <c r="A673" s="7">
        <v>46040.35312059028</v>
      </c>
      <c r="B673" s="8" t="s">
        <v>2773</v>
      </c>
      <c r="C673" s="8" t="s">
        <v>2774</v>
      </c>
      <c r="D673" s="9" t="s">
        <v>2775</v>
      </c>
      <c r="E673" s="8" t="s">
        <v>484</v>
      </c>
      <c r="F673" s="8" t="s">
        <v>49</v>
      </c>
      <c r="G673" s="8" t="s">
        <v>2776</v>
      </c>
      <c r="H673" s="8" t="s">
        <v>463</v>
      </c>
      <c r="I673" s="8" t="s">
        <v>52</v>
      </c>
      <c r="J673" s="8" t="s">
        <v>24</v>
      </c>
      <c r="K673" s="6" t="str">
        <f t="shared" si="1"/>
        <v>085749571982</v>
      </c>
      <c r="L673" s="6" t="str">
        <f>IFERROR(
VLOOKUP(
TRIM(
IF(ISNUMBER(FIND(",",E673)),
LEFT(E673,FIND(",",E673)-1),
E673
)
),
master!A:B,
2,
FALSE
),
"Belum ada mapping"
)
</f>
        <v>Jawa Tengah</v>
      </c>
      <c r="M673" s="6">
        <f>IFERROR(__xludf.DUMMYFUNCTION("IF(REGEXMATCH(I673,""Cari Kerja""),1,0)
"),0.0)</f>
        <v>0</v>
      </c>
      <c r="N673" s="6">
        <f>IFERROR(__xludf.DUMMYFUNCTION("IF(REGEXMATCH(I673,""Upskill""),1,0)
"),1.0)</f>
        <v>1</v>
      </c>
      <c r="O673" s="6">
        <f>IFERROR(__xludf.DUMMYFUNCTION("IF(REGEXMATCH(I673,""Networking""),1,0)
"),1.0)</f>
        <v>1</v>
      </c>
      <c r="P673" s="6">
        <f>IFERROR(__xludf.DUMMYFUNCTION("IF(REGEXMATCH(I673,""Switch Career""),1,0)
"),1.0)</f>
        <v>1</v>
      </c>
    </row>
    <row r="674" ht="22.5" customHeight="1">
      <c r="A674" s="7">
        <v>46040.35355478009</v>
      </c>
      <c r="B674" s="8" t="s">
        <v>2777</v>
      </c>
      <c r="C674" s="8" t="s">
        <v>2778</v>
      </c>
      <c r="D674" s="9" t="s">
        <v>2779</v>
      </c>
      <c r="E674" s="8" t="s">
        <v>2780</v>
      </c>
      <c r="F674" s="8" t="s">
        <v>20</v>
      </c>
      <c r="G674" s="8" t="s">
        <v>2781</v>
      </c>
      <c r="H674" s="8" t="s">
        <v>51</v>
      </c>
      <c r="I674" s="8" t="s">
        <v>23</v>
      </c>
      <c r="J674" s="8" t="s">
        <v>24</v>
      </c>
      <c r="K674" s="6" t="str">
        <f t="shared" si="1"/>
        <v>085281836855</v>
      </c>
      <c r="L674" s="6" t="str">
        <f>IFERROR(
VLOOKUP(
TRIM(
IF(ISNUMBER(FIND(",",E674)),
LEFT(E674,FIND(",",E674)-1),
E674
)
),
master!A:B,
2,
FALSE
),
"Belum ada mapping"
)
</f>
        <v>Jawa Barat</v>
      </c>
      <c r="M674" s="6">
        <f>IFERROR(__xludf.DUMMYFUNCTION("IF(REGEXMATCH(I674,""Cari Kerja""),1,0)
"),1.0)</f>
        <v>1</v>
      </c>
      <c r="N674" s="6">
        <f>IFERROR(__xludf.DUMMYFUNCTION("IF(REGEXMATCH(I674,""Upskill""),1,0)
"),1.0)</f>
        <v>1</v>
      </c>
      <c r="O674" s="6">
        <f>IFERROR(__xludf.DUMMYFUNCTION("IF(REGEXMATCH(I674,""Networking""),1,0)
"),1.0)</f>
        <v>1</v>
      </c>
      <c r="P674" s="6">
        <f>IFERROR(__xludf.DUMMYFUNCTION("IF(REGEXMATCH(I674,""Switch Career""),1,0)
"),0.0)</f>
        <v>0</v>
      </c>
    </row>
    <row r="675" ht="22.5" customHeight="1">
      <c r="A675" s="3">
        <v>46042.294826655096</v>
      </c>
      <c r="B675" s="5" t="s">
        <v>2782</v>
      </c>
      <c r="C675" s="5" t="s">
        <v>2783</v>
      </c>
      <c r="D675" s="4" t="s">
        <v>2784</v>
      </c>
      <c r="E675" s="5" t="s">
        <v>207</v>
      </c>
      <c r="F675" s="5" t="s">
        <v>49</v>
      </c>
      <c r="G675" s="5" t="s">
        <v>927</v>
      </c>
      <c r="H675" s="5" t="s">
        <v>567</v>
      </c>
      <c r="I675" s="5" t="s">
        <v>13</v>
      </c>
      <c r="J675" s="5" t="s">
        <v>24</v>
      </c>
      <c r="K675" s="6" t="str">
        <f t="shared" si="1"/>
        <v>087881071928</v>
      </c>
      <c r="L675" s="6" t="str">
        <f>IFERROR(
VLOOKUP(
TRIM(
IF(ISNUMBER(FIND(",",E675)),
LEFT(E675,FIND(",",E675)-1),
E675
)
),
master!A:B,
2,
FALSE
),
"Belum ada mapping"
)
</f>
        <v>Jakarta</v>
      </c>
      <c r="M675" s="6">
        <f>IFERROR(__xludf.DUMMYFUNCTION("IF(REGEXMATCH(I675,""Cari Kerja""),1,0)
"),0.0)</f>
        <v>0</v>
      </c>
      <c r="N675" s="6">
        <f>IFERROR(__xludf.DUMMYFUNCTION("IF(REGEXMATCH(I675,""Upskill""),1,0)
"),1.0)</f>
        <v>1</v>
      </c>
      <c r="O675" s="6">
        <f>IFERROR(__xludf.DUMMYFUNCTION("IF(REGEXMATCH(I675,""Networking""),1,0)
"),0.0)</f>
        <v>0</v>
      </c>
      <c r="P675" s="6">
        <f>IFERROR(__xludf.DUMMYFUNCTION("IF(REGEXMATCH(I675,""Switch Career""),1,0)
"),0.0)</f>
        <v>0</v>
      </c>
    </row>
    <row r="676" ht="22.5" customHeight="1">
      <c r="A676" s="3">
        <v>46042.53407733796</v>
      </c>
      <c r="B676" s="5" t="s">
        <v>2785</v>
      </c>
      <c r="C676" s="5" t="s">
        <v>2786</v>
      </c>
      <c r="D676" s="4" t="s">
        <v>2787</v>
      </c>
      <c r="E676" s="5" t="s">
        <v>2788</v>
      </c>
      <c r="F676" s="5" t="s">
        <v>49</v>
      </c>
      <c r="G676" s="5" t="s">
        <v>2789</v>
      </c>
      <c r="H676" s="5" t="s">
        <v>176</v>
      </c>
      <c r="I676" s="5" t="s">
        <v>13</v>
      </c>
      <c r="J676" s="5" t="s">
        <v>38</v>
      </c>
      <c r="K676" s="6" t="str">
        <f t="shared" si="1"/>
        <v>085746116746</v>
      </c>
      <c r="L676" s="6" t="str">
        <f>IFERROR(
VLOOKUP(
TRIM(
IF(ISNUMBER(FIND(",",E676)),
LEFT(E676,FIND(",",E676)-1),
E676
)
),
master!A:B,
2,
FALSE
),
"Belum ada mapping"
)
</f>
        <v>Jawa Timur</v>
      </c>
      <c r="M676" s="6">
        <f>IFERROR(__xludf.DUMMYFUNCTION("IF(REGEXMATCH(I676,""Cari Kerja""),1,0)
"),0.0)</f>
        <v>0</v>
      </c>
      <c r="N676" s="6">
        <f>IFERROR(__xludf.DUMMYFUNCTION("IF(REGEXMATCH(I676,""Upskill""),1,0)
"),1.0)</f>
        <v>1</v>
      </c>
      <c r="O676" s="6">
        <f>IFERROR(__xludf.DUMMYFUNCTION("IF(REGEXMATCH(I676,""Networking""),1,0)
"),0.0)</f>
        <v>0</v>
      </c>
      <c r="P676" s="6">
        <f>IFERROR(__xludf.DUMMYFUNCTION("IF(REGEXMATCH(I676,""Switch Career""),1,0)
"),0.0)</f>
        <v>0</v>
      </c>
    </row>
    <row r="677" ht="22.5" customHeight="1">
      <c r="A677" s="3">
        <v>46043.27754299769</v>
      </c>
      <c r="B677" s="5" t="s">
        <v>2785</v>
      </c>
      <c r="C677" s="5" t="s">
        <v>2786</v>
      </c>
      <c r="D677" s="4" t="s">
        <v>2787</v>
      </c>
      <c r="E677" s="5" t="s">
        <v>2788</v>
      </c>
      <c r="F677" s="5" t="s">
        <v>49</v>
      </c>
      <c r="G677" s="5" t="s">
        <v>2790</v>
      </c>
      <c r="H677" s="5" t="s">
        <v>2791</v>
      </c>
      <c r="I677" s="5" t="s">
        <v>59</v>
      </c>
      <c r="J677" s="5" t="s">
        <v>76</v>
      </c>
      <c r="K677" s="6" t="str">
        <f t="shared" si="1"/>
        <v>085746116746</v>
      </c>
      <c r="L677" s="6" t="str">
        <f>IFERROR(
VLOOKUP(
TRIM(
IF(ISNUMBER(FIND(",",E677)),
LEFT(E677,FIND(",",E677)-1),
E677
)
),
master!A:B,
2,
FALSE
),
"Belum ada mapping"
)
</f>
        <v>Jawa Timur</v>
      </c>
      <c r="M677" s="6">
        <f>IFERROR(__xludf.DUMMYFUNCTION("IF(REGEXMATCH(I677,""Cari Kerja""),1,0)
"),0.0)</f>
        <v>0</v>
      </c>
      <c r="N677" s="6">
        <f>IFERROR(__xludf.DUMMYFUNCTION("IF(REGEXMATCH(I677,""Upskill""),1,0)
"),1.0)</f>
        <v>1</v>
      </c>
      <c r="O677" s="6">
        <f>IFERROR(__xludf.DUMMYFUNCTION("IF(REGEXMATCH(I677,""Networking""),1,0)
"),1.0)</f>
        <v>1</v>
      </c>
      <c r="P677" s="6">
        <f>IFERROR(__xludf.DUMMYFUNCTION("IF(REGEXMATCH(I677,""Switch Career""),1,0)
"),0.0)</f>
        <v>0</v>
      </c>
    </row>
    <row r="678" ht="22.5" customHeight="1">
      <c r="A678" s="3">
        <v>46046.36507313658</v>
      </c>
      <c r="B678" s="5" t="s">
        <v>2792</v>
      </c>
      <c r="C678" s="5" t="s">
        <v>2793</v>
      </c>
      <c r="D678" s="4" t="s">
        <v>2794</v>
      </c>
      <c r="E678" s="5" t="s">
        <v>207</v>
      </c>
      <c r="F678" s="5" t="s">
        <v>20</v>
      </c>
      <c r="G678" s="5" t="s">
        <v>21</v>
      </c>
      <c r="H678" s="5" t="s">
        <v>165</v>
      </c>
      <c r="I678" s="5" t="s">
        <v>59</v>
      </c>
      <c r="J678" s="5" t="s">
        <v>24</v>
      </c>
      <c r="K678" s="6" t="str">
        <f t="shared" si="1"/>
        <v>085136086754</v>
      </c>
      <c r="L678" s="6" t="str">
        <f>IFERROR(
VLOOKUP(
TRIM(
IF(ISNUMBER(FIND(",",E678)),
LEFT(E678,FIND(",",E678)-1),
E678
)
),
master!A:B,
2,
FALSE
),
"Belum ada mapping"
)
</f>
        <v>Jakarta</v>
      </c>
      <c r="M678" s="6">
        <f>IFERROR(__xludf.DUMMYFUNCTION("IF(REGEXMATCH(I678,""Cari Kerja""),1,0)
"),0.0)</f>
        <v>0</v>
      </c>
      <c r="N678" s="6">
        <f>IFERROR(__xludf.DUMMYFUNCTION("IF(REGEXMATCH(I678,""Upskill""),1,0)
"),1.0)</f>
        <v>1</v>
      </c>
      <c r="O678" s="6">
        <f>IFERROR(__xludf.DUMMYFUNCTION("IF(REGEXMATCH(I678,""Networking""),1,0)
"),1.0)</f>
        <v>1</v>
      </c>
      <c r="P678" s="6">
        <f>IFERROR(__xludf.DUMMYFUNCTION("IF(REGEXMATCH(I678,""Switch Career""),1,0)
"),0.0)</f>
        <v>0</v>
      </c>
    </row>
    <row r="679" ht="22.5" customHeight="1">
      <c r="A679" s="3">
        <v>46042.4268028125</v>
      </c>
      <c r="B679" s="5" t="s">
        <v>2795</v>
      </c>
      <c r="C679" s="5" t="s">
        <v>2796</v>
      </c>
      <c r="D679" s="4" t="s">
        <v>2797</v>
      </c>
      <c r="E679" s="5" t="s">
        <v>122</v>
      </c>
      <c r="F679" s="5" t="s">
        <v>49</v>
      </c>
      <c r="G679" s="5" t="s">
        <v>2798</v>
      </c>
      <c r="H679" s="5" t="s">
        <v>245</v>
      </c>
      <c r="I679" s="5" t="s">
        <v>52</v>
      </c>
      <c r="J679" s="5" t="s">
        <v>24</v>
      </c>
      <c r="K679" s="6" t="str">
        <f t="shared" si="1"/>
        <v>082299906956</v>
      </c>
      <c r="L679" s="6" t="str">
        <f>IFERROR(
VLOOKUP(
TRIM(
IF(ISNUMBER(FIND(",",E679)),
LEFT(E679,FIND(",",E679)-1),
E679
)
),
master!A:B,
2,
FALSE
),
"Belum ada mapping"
)
</f>
        <v>Sulawesi Selatan</v>
      </c>
      <c r="M679" s="6">
        <f>IFERROR(__xludf.DUMMYFUNCTION("IF(REGEXMATCH(I679,""Cari Kerja""),1,0)
"),0.0)</f>
        <v>0</v>
      </c>
      <c r="N679" s="6">
        <f>IFERROR(__xludf.DUMMYFUNCTION("IF(REGEXMATCH(I679,""Upskill""),1,0)
"),1.0)</f>
        <v>1</v>
      </c>
      <c r="O679" s="6">
        <f>IFERROR(__xludf.DUMMYFUNCTION("IF(REGEXMATCH(I679,""Networking""),1,0)
"),1.0)</f>
        <v>1</v>
      </c>
      <c r="P679" s="6">
        <f>IFERROR(__xludf.DUMMYFUNCTION("IF(REGEXMATCH(I679,""Switch Career""),1,0)
"),1.0)</f>
        <v>1</v>
      </c>
    </row>
    <row r="680" ht="22.5" customHeight="1">
      <c r="A680" s="3">
        <v>46046.60855163194</v>
      </c>
      <c r="B680" s="5" t="s">
        <v>2799</v>
      </c>
      <c r="C680" s="5" t="s">
        <v>2800</v>
      </c>
      <c r="D680" s="4" t="s">
        <v>2801</v>
      </c>
      <c r="E680" s="5" t="s">
        <v>2802</v>
      </c>
      <c r="F680" s="5" t="s">
        <v>49</v>
      </c>
      <c r="G680" s="5" t="s">
        <v>69</v>
      </c>
      <c r="H680" s="5" t="s">
        <v>305</v>
      </c>
      <c r="I680" s="5" t="s">
        <v>12</v>
      </c>
      <c r="J680" s="5" t="s">
        <v>38</v>
      </c>
      <c r="K680" s="6" t="str">
        <f t="shared" si="1"/>
        <v>08985607640</v>
      </c>
      <c r="L680" s="6" t="str">
        <f>IFERROR(
VLOOKUP(
TRIM(
IF(ISNUMBER(FIND(",",E680)),
LEFT(E680,FIND(",",E680)-1),
E680
)
),
master!A:B,
2,
FALSE
),
"Belum ada mapping"
)
</f>
        <v>Jawa Tengah</v>
      </c>
      <c r="M680" s="6">
        <f>IFERROR(__xludf.DUMMYFUNCTION("IF(REGEXMATCH(I680,""Cari Kerja""),1,0)
"),1.0)</f>
        <v>1</v>
      </c>
      <c r="N680" s="6">
        <f>IFERROR(__xludf.DUMMYFUNCTION("IF(REGEXMATCH(I680,""Upskill""),1,0)
"),0.0)</f>
        <v>0</v>
      </c>
      <c r="O680" s="6">
        <f>IFERROR(__xludf.DUMMYFUNCTION("IF(REGEXMATCH(I680,""Networking""),1,0)
"),0.0)</f>
        <v>0</v>
      </c>
      <c r="P680" s="6">
        <f>IFERROR(__xludf.DUMMYFUNCTION("IF(REGEXMATCH(I680,""Switch Career""),1,0)
"),0.0)</f>
        <v>0</v>
      </c>
    </row>
    <row r="681" ht="22.5" customHeight="1">
      <c r="A681" s="3">
        <v>46047.370456261575</v>
      </c>
      <c r="B681" s="5" t="s">
        <v>2803</v>
      </c>
      <c r="C681" s="5" t="s">
        <v>2804</v>
      </c>
      <c r="D681" s="4" t="s">
        <v>2805</v>
      </c>
      <c r="E681" s="5" t="s">
        <v>2806</v>
      </c>
      <c r="F681" s="5" t="s">
        <v>20</v>
      </c>
      <c r="G681" s="5" t="s">
        <v>360</v>
      </c>
      <c r="H681" s="5" t="s">
        <v>2807</v>
      </c>
      <c r="I681" s="5" t="s">
        <v>59</v>
      </c>
      <c r="J681" s="5" t="s">
        <v>76</v>
      </c>
      <c r="K681" s="6" t="str">
        <f t="shared" si="1"/>
        <v>083165040062</v>
      </c>
      <c r="L681" s="6" t="str">
        <f>IFERROR(
VLOOKUP(
TRIM(
IF(ISNUMBER(FIND(",",E681)),
LEFT(E681,FIND(",",E681)-1),
E681
)
),
master!A:B,
2,
FALSE
),
"Belum ada mapping"
)
</f>
        <v>Jawa Timur</v>
      </c>
      <c r="M681" s="6">
        <f>IFERROR(__xludf.DUMMYFUNCTION("IF(REGEXMATCH(I681,""Cari Kerja""),1,0)
"),0.0)</f>
        <v>0</v>
      </c>
      <c r="N681" s="6">
        <f>IFERROR(__xludf.DUMMYFUNCTION("IF(REGEXMATCH(I681,""Upskill""),1,0)
"),1.0)</f>
        <v>1</v>
      </c>
      <c r="O681" s="6">
        <f>IFERROR(__xludf.DUMMYFUNCTION("IF(REGEXMATCH(I681,""Networking""),1,0)
"),1.0)</f>
        <v>1</v>
      </c>
      <c r="P681" s="6">
        <f>IFERROR(__xludf.DUMMYFUNCTION("IF(REGEXMATCH(I681,""Switch Career""),1,0)
"),0.0)</f>
        <v>0</v>
      </c>
    </row>
    <row r="682" ht="22.5" customHeight="1">
      <c r="A682" s="7">
        <v>46040.33975918981</v>
      </c>
      <c r="B682" s="8" t="s">
        <v>2808</v>
      </c>
      <c r="C682" s="8" t="s">
        <v>2809</v>
      </c>
      <c r="D682" s="9" t="s">
        <v>2810</v>
      </c>
      <c r="E682" s="8" t="s">
        <v>2811</v>
      </c>
      <c r="F682" s="8" t="s">
        <v>20</v>
      </c>
      <c r="G682" s="8" t="s">
        <v>2812</v>
      </c>
      <c r="H682" s="8" t="s">
        <v>51</v>
      </c>
      <c r="I682" s="8" t="s">
        <v>52</v>
      </c>
      <c r="J682" s="8" t="s">
        <v>24</v>
      </c>
      <c r="K682" s="6" t="str">
        <f t="shared" si="1"/>
        <v>085756380399</v>
      </c>
      <c r="L682" s="6" t="str">
        <f>IFERROR(
VLOOKUP(
TRIM(
IF(ISNUMBER(FIND(",",E682)),
LEFT(E682,FIND(",",E682)-1),
E682
)
),
master!A:B,
2,
FALSE
),
"Belum ada mapping"
)
</f>
        <v>Jawa Barat</v>
      </c>
      <c r="M682" s="6">
        <f>IFERROR(__xludf.DUMMYFUNCTION("IF(REGEXMATCH(I682,""Cari Kerja""),1,0)
"),0.0)</f>
        <v>0</v>
      </c>
      <c r="N682" s="6">
        <f>IFERROR(__xludf.DUMMYFUNCTION("IF(REGEXMATCH(I682,""Upskill""),1,0)
"),1.0)</f>
        <v>1</v>
      </c>
      <c r="O682" s="6">
        <f>IFERROR(__xludf.DUMMYFUNCTION("IF(REGEXMATCH(I682,""Networking""),1,0)
"),1.0)</f>
        <v>1</v>
      </c>
      <c r="P682" s="6">
        <f>IFERROR(__xludf.DUMMYFUNCTION("IF(REGEXMATCH(I682,""Switch Career""),1,0)
"),1.0)</f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7.0"/>
  </cols>
  <sheetData>
    <row r="1">
      <c r="A1" s="11" t="s">
        <v>4</v>
      </c>
      <c r="B1" s="11" t="s">
        <v>11</v>
      </c>
    </row>
    <row r="2">
      <c r="A2" s="12" t="s">
        <v>2397</v>
      </c>
      <c r="B2" s="12" t="s">
        <v>2397</v>
      </c>
    </row>
    <row r="3">
      <c r="A3" s="13" t="s">
        <v>2813</v>
      </c>
      <c r="B3" s="13" t="s">
        <v>2397</v>
      </c>
    </row>
    <row r="4">
      <c r="A4" s="14" t="s">
        <v>944</v>
      </c>
      <c r="B4" s="14" t="s">
        <v>2814</v>
      </c>
    </row>
    <row r="5">
      <c r="A5" s="13" t="s">
        <v>833</v>
      </c>
      <c r="B5" s="13" t="s">
        <v>2815</v>
      </c>
    </row>
    <row r="6">
      <c r="A6" s="14" t="s">
        <v>1825</v>
      </c>
      <c r="B6" s="14" t="s">
        <v>1825</v>
      </c>
    </row>
    <row r="7">
      <c r="A7" s="13" t="s">
        <v>1831</v>
      </c>
      <c r="B7" s="13" t="s">
        <v>1825</v>
      </c>
    </row>
    <row r="8">
      <c r="A8" s="14" t="s">
        <v>613</v>
      </c>
      <c r="B8" s="14" t="s">
        <v>1825</v>
      </c>
    </row>
    <row r="9">
      <c r="A9" s="13" t="s">
        <v>939</v>
      </c>
      <c r="B9" s="13" t="s">
        <v>1825</v>
      </c>
    </row>
    <row r="10">
      <c r="A10" s="14" t="s">
        <v>2700</v>
      </c>
      <c r="B10" s="14" t="s">
        <v>1825</v>
      </c>
    </row>
    <row r="11">
      <c r="A11" s="15" t="s">
        <v>2077</v>
      </c>
      <c r="B11" s="13" t="s">
        <v>1825</v>
      </c>
    </row>
    <row r="12">
      <c r="A12" s="14" t="s">
        <v>233</v>
      </c>
      <c r="B12" s="14" t="s">
        <v>1825</v>
      </c>
    </row>
    <row r="13">
      <c r="A13" s="13" t="s">
        <v>74</v>
      </c>
      <c r="B13" s="13" t="s">
        <v>1825</v>
      </c>
    </row>
    <row r="14">
      <c r="A14" s="14" t="s">
        <v>218</v>
      </c>
      <c r="B14" s="14" t="s">
        <v>1825</v>
      </c>
    </row>
    <row r="15">
      <c r="A15" s="13" t="s">
        <v>492</v>
      </c>
      <c r="B15" s="13" t="s">
        <v>492</v>
      </c>
    </row>
    <row r="16">
      <c r="A16" s="14" t="s">
        <v>1591</v>
      </c>
      <c r="B16" s="14" t="s">
        <v>492</v>
      </c>
    </row>
    <row r="17">
      <c r="A17" s="15" t="s">
        <v>1710</v>
      </c>
      <c r="B17" s="13" t="s">
        <v>1930</v>
      </c>
    </row>
    <row r="18">
      <c r="A18" s="14" t="s">
        <v>1837</v>
      </c>
      <c r="B18" s="14" t="s">
        <v>1930</v>
      </c>
    </row>
    <row r="19">
      <c r="A19" s="13" t="s">
        <v>1652</v>
      </c>
      <c r="B19" s="13" t="s">
        <v>1930</v>
      </c>
    </row>
    <row r="20">
      <c r="A20" s="14" t="s">
        <v>48</v>
      </c>
      <c r="B20" s="14" t="s">
        <v>1930</v>
      </c>
    </row>
    <row r="21">
      <c r="A21" s="15" t="s">
        <v>461</v>
      </c>
      <c r="B21" s="13" t="s">
        <v>207</v>
      </c>
    </row>
    <row r="22">
      <c r="A22" s="14" t="s">
        <v>207</v>
      </c>
      <c r="B22" s="14" t="s">
        <v>207</v>
      </c>
    </row>
    <row r="23">
      <c r="A23" s="13" t="s">
        <v>775</v>
      </c>
      <c r="B23" s="13" t="s">
        <v>207</v>
      </c>
    </row>
    <row r="24">
      <c r="A24" s="16" t="s">
        <v>1617</v>
      </c>
      <c r="B24" s="14" t="s">
        <v>207</v>
      </c>
    </row>
    <row r="25">
      <c r="A25" s="13" t="s">
        <v>364</v>
      </c>
      <c r="B25" s="13" t="s">
        <v>207</v>
      </c>
    </row>
    <row r="26">
      <c r="A26" s="16" t="s">
        <v>97</v>
      </c>
      <c r="B26" s="14" t="s">
        <v>207</v>
      </c>
    </row>
    <row r="27">
      <c r="A27" s="13" t="s">
        <v>327</v>
      </c>
      <c r="B27" s="13" t="s">
        <v>207</v>
      </c>
    </row>
    <row r="28">
      <c r="A28" s="14" t="s">
        <v>795</v>
      </c>
      <c r="B28" s="14" t="s">
        <v>207</v>
      </c>
    </row>
    <row r="29">
      <c r="A29" s="13" t="s">
        <v>2550</v>
      </c>
      <c r="B29" s="13" t="s">
        <v>249</v>
      </c>
    </row>
    <row r="30">
      <c r="A30" s="14" t="s">
        <v>249</v>
      </c>
      <c r="B30" s="14" t="s">
        <v>249</v>
      </c>
    </row>
    <row r="31">
      <c r="A31" s="15" t="s">
        <v>2451</v>
      </c>
      <c r="B31" s="13" t="s">
        <v>249</v>
      </c>
    </row>
    <row r="32">
      <c r="A32" s="14" t="s">
        <v>42</v>
      </c>
      <c r="B32" s="14" t="s">
        <v>2183</v>
      </c>
    </row>
    <row r="33">
      <c r="A33" s="15" t="s">
        <v>1178</v>
      </c>
      <c r="B33" s="13" t="s">
        <v>2183</v>
      </c>
    </row>
    <row r="34">
      <c r="A34" s="14" t="s">
        <v>92</v>
      </c>
      <c r="B34" s="14" t="s">
        <v>2183</v>
      </c>
    </row>
    <row r="35">
      <c r="A35" s="13" t="s">
        <v>551</v>
      </c>
      <c r="B35" s="13" t="s">
        <v>2183</v>
      </c>
    </row>
    <row r="36">
      <c r="A36" s="14" t="s">
        <v>604</v>
      </c>
      <c r="B36" s="14" t="s">
        <v>2183</v>
      </c>
    </row>
    <row r="37">
      <c r="A37" s="17" t="s">
        <v>2816</v>
      </c>
      <c r="B37" s="13" t="s">
        <v>2183</v>
      </c>
    </row>
    <row r="38">
      <c r="A38" s="14" t="s">
        <v>107</v>
      </c>
      <c r="B38" s="14" t="s">
        <v>2183</v>
      </c>
    </row>
    <row r="39">
      <c r="A39" s="13" t="s">
        <v>2244</v>
      </c>
      <c r="B39" s="13" t="s">
        <v>2183</v>
      </c>
    </row>
    <row r="40">
      <c r="A40" s="16" t="s">
        <v>2491</v>
      </c>
      <c r="B40" s="14" t="s">
        <v>2183</v>
      </c>
    </row>
    <row r="41">
      <c r="A41" s="15" t="s">
        <v>837</v>
      </c>
      <c r="B41" s="13" t="s">
        <v>2183</v>
      </c>
    </row>
    <row r="42">
      <c r="A42" s="14" t="s">
        <v>158</v>
      </c>
      <c r="B42" s="14" t="s">
        <v>2183</v>
      </c>
    </row>
    <row r="43">
      <c r="A43" s="13" t="s">
        <v>680</v>
      </c>
      <c r="B43" s="13" t="s">
        <v>2183</v>
      </c>
    </row>
    <row r="44">
      <c r="A44" s="14" t="s">
        <v>2020</v>
      </c>
      <c r="B44" s="14" t="s">
        <v>2183</v>
      </c>
    </row>
    <row r="45">
      <c r="A45" s="15" t="s">
        <v>1347</v>
      </c>
      <c r="B45" s="13" t="s">
        <v>2183</v>
      </c>
    </row>
    <row r="46">
      <c r="A46" s="14" t="s">
        <v>1031</v>
      </c>
      <c r="B46" s="14" t="s">
        <v>2183</v>
      </c>
    </row>
    <row r="47">
      <c r="A47" s="13" t="s">
        <v>2183</v>
      </c>
      <c r="B47" s="13" t="s">
        <v>2183</v>
      </c>
    </row>
    <row r="48">
      <c r="A48" s="14" t="s">
        <v>1010</v>
      </c>
      <c r="B48" s="14" t="s">
        <v>2183</v>
      </c>
    </row>
    <row r="49">
      <c r="A49" s="13" t="s">
        <v>1160</v>
      </c>
      <c r="B49" s="13" t="s">
        <v>2183</v>
      </c>
    </row>
    <row r="50">
      <c r="A50" s="14" t="s">
        <v>825</v>
      </c>
      <c r="B50" s="14" t="s">
        <v>2183</v>
      </c>
    </row>
    <row r="51">
      <c r="A51" s="13" t="s">
        <v>1411</v>
      </c>
      <c r="B51" s="13" t="s">
        <v>2183</v>
      </c>
    </row>
    <row r="52">
      <c r="A52" s="18" t="s">
        <v>571</v>
      </c>
      <c r="B52" s="14" t="s">
        <v>2183</v>
      </c>
    </row>
    <row r="53">
      <c r="A53" s="19" t="s">
        <v>2545</v>
      </c>
      <c r="B53" s="13" t="s">
        <v>2183</v>
      </c>
    </row>
    <row r="54">
      <c r="A54" s="18" t="s">
        <v>1151</v>
      </c>
      <c r="B54" s="14" t="s">
        <v>2183</v>
      </c>
    </row>
    <row r="55">
      <c r="A55" s="20" t="s">
        <v>1260</v>
      </c>
      <c r="B55" s="13" t="s">
        <v>2183</v>
      </c>
    </row>
    <row r="56">
      <c r="A56" s="18" t="s">
        <v>1250</v>
      </c>
      <c r="B56" s="18" t="s">
        <v>2183</v>
      </c>
    </row>
    <row r="57">
      <c r="A57" s="21" t="s">
        <v>86</v>
      </c>
      <c r="B57" s="13" t="s">
        <v>19</v>
      </c>
    </row>
    <row r="58">
      <c r="A58" s="18" t="s">
        <v>2683</v>
      </c>
      <c r="B58" s="14" t="s">
        <v>19</v>
      </c>
    </row>
    <row r="59">
      <c r="A59" s="21" t="s">
        <v>68</v>
      </c>
      <c r="B59" s="13" t="s">
        <v>19</v>
      </c>
    </row>
    <row r="60">
      <c r="A60" s="18" t="s">
        <v>525</v>
      </c>
      <c r="B60" s="14" t="s">
        <v>19</v>
      </c>
    </row>
    <row r="61">
      <c r="A61" s="20" t="s">
        <v>1939</v>
      </c>
      <c r="B61" s="13" t="s">
        <v>19</v>
      </c>
    </row>
    <row r="62">
      <c r="A62" s="18" t="s">
        <v>655</v>
      </c>
      <c r="B62" s="14" t="s">
        <v>19</v>
      </c>
    </row>
    <row r="63">
      <c r="A63" s="21" t="s">
        <v>19</v>
      </c>
      <c r="B63" s="15" t="s">
        <v>19</v>
      </c>
    </row>
    <row r="64">
      <c r="A64" s="18" t="s">
        <v>2802</v>
      </c>
      <c r="B64" s="14" t="s">
        <v>19</v>
      </c>
    </row>
    <row r="65">
      <c r="A65" s="20" t="s">
        <v>2405</v>
      </c>
      <c r="B65" s="13" t="s">
        <v>19</v>
      </c>
    </row>
    <row r="66">
      <c r="A66" s="22" t="s">
        <v>2507</v>
      </c>
      <c r="B66" s="14" t="s">
        <v>19</v>
      </c>
    </row>
    <row r="67">
      <c r="A67" s="20" t="s">
        <v>909</v>
      </c>
      <c r="B67" s="13" t="s">
        <v>19</v>
      </c>
    </row>
    <row r="68">
      <c r="A68" s="23" t="s">
        <v>575</v>
      </c>
      <c r="B68" s="14" t="s">
        <v>19</v>
      </c>
    </row>
    <row r="69">
      <c r="A69" s="20" t="s">
        <v>63</v>
      </c>
      <c r="B69" s="20" t="s">
        <v>19</v>
      </c>
    </row>
    <row r="70">
      <c r="A70" s="18" t="s">
        <v>2065</v>
      </c>
      <c r="B70" s="14" t="s">
        <v>19</v>
      </c>
    </row>
    <row r="71">
      <c r="A71" s="19" t="s">
        <v>2311</v>
      </c>
      <c r="B71" s="13" t="s">
        <v>19</v>
      </c>
    </row>
    <row r="72">
      <c r="A72" s="18" t="s">
        <v>2274</v>
      </c>
      <c r="B72" s="14" t="s">
        <v>19</v>
      </c>
    </row>
    <row r="73">
      <c r="A73" s="20" t="s">
        <v>1740</v>
      </c>
      <c r="B73" s="13" t="s">
        <v>19</v>
      </c>
    </row>
    <row r="74">
      <c r="A74" s="22" t="s">
        <v>2029</v>
      </c>
      <c r="B74" s="14" t="s">
        <v>19</v>
      </c>
    </row>
    <row r="75">
      <c r="A75" s="20" t="s">
        <v>164</v>
      </c>
      <c r="B75" s="13" t="s">
        <v>19</v>
      </c>
    </row>
    <row r="76">
      <c r="A76" s="22" t="s">
        <v>1505</v>
      </c>
      <c r="B76" s="14" t="s">
        <v>19</v>
      </c>
    </row>
    <row r="77">
      <c r="A77" s="20" t="s">
        <v>484</v>
      </c>
      <c r="B77" s="13" t="s">
        <v>19</v>
      </c>
    </row>
    <row r="78">
      <c r="A78" s="18" t="s">
        <v>1509</v>
      </c>
      <c r="B78" s="14" t="s">
        <v>19</v>
      </c>
    </row>
    <row r="79">
      <c r="A79" s="24" t="s">
        <v>1647</v>
      </c>
      <c r="B79" s="13" t="s">
        <v>19</v>
      </c>
    </row>
    <row r="80">
      <c r="A80" s="25" t="s">
        <v>2817</v>
      </c>
      <c r="B80" s="14" t="s">
        <v>19</v>
      </c>
    </row>
    <row r="81">
      <c r="A81" s="24" t="s">
        <v>443</v>
      </c>
      <c r="B81" s="13" t="s">
        <v>19</v>
      </c>
    </row>
    <row r="82">
      <c r="A82" s="26" t="s">
        <v>1701</v>
      </c>
      <c r="B82" s="14" t="s">
        <v>19</v>
      </c>
    </row>
    <row r="83">
      <c r="A83" s="27" t="s">
        <v>409</v>
      </c>
      <c r="B83" s="13" t="s">
        <v>19</v>
      </c>
    </row>
    <row r="84">
      <c r="A84" s="14" t="s">
        <v>675</v>
      </c>
      <c r="B84" s="14" t="s">
        <v>19</v>
      </c>
    </row>
    <row r="85">
      <c r="A85" s="13" t="s">
        <v>2214</v>
      </c>
      <c r="B85" s="13" t="s">
        <v>19</v>
      </c>
    </row>
    <row r="86">
      <c r="A86" s="14" t="s">
        <v>1536</v>
      </c>
      <c r="B86" s="14" t="s">
        <v>1132</v>
      </c>
    </row>
    <row r="87">
      <c r="A87" s="13" t="s">
        <v>2348</v>
      </c>
      <c r="B87" s="13" t="s">
        <v>1132</v>
      </c>
    </row>
    <row r="88">
      <c r="A88" s="18" t="s">
        <v>118</v>
      </c>
      <c r="B88" s="14" t="s">
        <v>1132</v>
      </c>
    </row>
    <row r="89">
      <c r="A89" s="20" t="s">
        <v>1132</v>
      </c>
      <c r="B89" s="13" t="s">
        <v>1132</v>
      </c>
    </row>
    <row r="90">
      <c r="A90" s="18" t="s">
        <v>309</v>
      </c>
      <c r="B90" s="14" t="s">
        <v>1132</v>
      </c>
    </row>
    <row r="91">
      <c r="A91" s="20" t="s">
        <v>2047</v>
      </c>
      <c r="B91" s="13" t="s">
        <v>1132</v>
      </c>
    </row>
    <row r="92">
      <c r="A92" s="28" t="s">
        <v>529</v>
      </c>
      <c r="B92" s="14" t="s">
        <v>1132</v>
      </c>
    </row>
    <row r="93">
      <c r="A93" s="15" t="s">
        <v>2818</v>
      </c>
      <c r="B93" s="13" t="s">
        <v>1132</v>
      </c>
    </row>
    <row r="94">
      <c r="A94" s="14" t="s">
        <v>2806</v>
      </c>
      <c r="B94" s="14" t="s">
        <v>1132</v>
      </c>
    </row>
    <row r="95">
      <c r="A95" s="13" t="s">
        <v>1306</v>
      </c>
      <c r="B95" s="13" t="s">
        <v>1132</v>
      </c>
    </row>
    <row r="96">
      <c r="A96" s="14" t="s">
        <v>174</v>
      </c>
      <c r="B96" s="14" t="s">
        <v>1132</v>
      </c>
    </row>
    <row r="97">
      <c r="A97" s="13" t="s">
        <v>276</v>
      </c>
      <c r="B97" s="13" t="s">
        <v>1132</v>
      </c>
    </row>
    <row r="98">
      <c r="A98" s="14" t="s">
        <v>1484</v>
      </c>
      <c r="B98" s="14" t="s">
        <v>1132</v>
      </c>
    </row>
    <row r="99">
      <c r="A99" s="13" t="s">
        <v>2819</v>
      </c>
      <c r="B99" s="13" t="s">
        <v>1132</v>
      </c>
    </row>
    <row r="100">
      <c r="A100" s="14" t="s">
        <v>596</v>
      </c>
      <c r="B100" s="14" t="s">
        <v>1132</v>
      </c>
    </row>
    <row r="101">
      <c r="A101" s="13" t="s">
        <v>35</v>
      </c>
      <c r="B101" s="13" t="s">
        <v>1132</v>
      </c>
    </row>
    <row r="102">
      <c r="A102" s="14" t="s">
        <v>2820</v>
      </c>
      <c r="B102" s="14" t="s">
        <v>1132</v>
      </c>
    </row>
    <row r="103">
      <c r="A103" s="13" t="s">
        <v>2162</v>
      </c>
      <c r="B103" s="13" t="s">
        <v>2162</v>
      </c>
    </row>
    <row r="104">
      <c r="A104" s="16" t="s">
        <v>591</v>
      </c>
      <c r="B104" s="14" t="s">
        <v>2162</v>
      </c>
    </row>
    <row r="105">
      <c r="A105" s="13" t="s">
        <v>1600</v>
      </c>
      <c r="B105" s="13" t="s">
        <v>1808</v>
      </c>
    </row>
    <row r="106">
      <c r="A106" s="14" t="s">
        <v>1808</v>
      </c>
      <c r="B106" s="14" t="s">
        <v>1808</v>
      </c>
    </row>
    <row r="107">
      <c r="A107" s="15" t="s">
        <v>1455</v>
      </c>
      <c r="B107" s="13" t="s">
        <v>1808</v>
      </c>
    </row>
    <row r="108">
      <c r="A108" s="14" t="s">
        <v>389</v>
      </c>
      <c r="B108" s="14" t="s">
        <v>1808</v>
      </c>
    </row>
    <row r="109">
      <c r="A109" s="17" t="s">
        <v>2343</v>
      </c>
      <c r="B109" s="15" t="s">
        <v>2821</v>
      </c>
    </row>
    <row r="110">
      <c r="A110" s="16" t="s">
        <v>381</v>
      </c>
      <c r="B110" s="14" t="s">
        <v>2821</v>
      </c>
    </row>
    <row r="111">
      <c r="A111" s="13" t="s">
        <v>385</v>
      </c>
      <c r="B111" s="13" t="s">
        <v>1280</v>
      </c>
    </row>
    <row r="112">
      <c r="A112" s="14" t="s">
        <v>1280</v>
      </c>
      <c r="B112" s="14" t="s">
        <v>1280</v>
      </c>
    </row>
    <row r="113">
      <c r="A113" s="13" t="s">
        <v>1625</v>
      </c>
      <c r="B113" s="13" t="s">
        <v>1280</v>
      </c>
    </row>
    <row r="114">
      <c r="A114" s="28" t="s">
        <v>428</v>
      </c>
      <c r="B114" s="14" t="s">
        <v>1280</v>
      </c>
    </row>
    <row r="115">
      <c r="A115" s="17" t="s">
        <v>2822</v>
      </c>
      <c r="B115" s="13" t="s">
        <v>2823</v>
      </c>
    </row>
    <row r="116">
      <c r="A116" s="14" t="s">
        <v>457</v>
      </c>
      <c r="B116" s="14" t="s">
        <v>457</v>
      </c>
    </row>
    <row r="117">
      <c r="A117" s="13" t="s">
        <v>1596</v>
      </c>
      <c r="B117" s="13" t="s">
        <v>2824</v>
      </c>
    </row>
    <row r="118">
      <c r="A118" s="14" t="s">
        <v>1377</v>
      </c>
      <c r="B118" s="14" t="s">
        <v>2824</v>
      </c>
    </row>
    <row r="119">
      <c r="A119" s="13" t="s">
        <v>2473</v>
      </c>
      <c r="B119" s="13" t="s">
        <v>2825</v>
      </c>
    </row>
    <row r="120">
      <c r="A120" s="14" t="s">
        <v>504</v>
      </c>
      <c r="B120" s="14" t="s">
        <v>565</v>
      </c>
    </row>
    <row r="121">
      <c r="A121" s="15" t="s">
        <v>148</v>
      </c>
      <c r="B121" s="13" t="s">
        <v>565</v>
      </c>
    </row>
    <row r="122">
      <c r="A122" s="28" t="s">
        <v>151</v>
      </c>
      <c r="B122" s="28" t="s">
        <v>565</v>
      </c>
    </row>
    <row r="123">
      <c r="A123" s="13" t="s">
        <v>565</v>
      </c>
      <c r="B123" s="13" t="s">
        <v>565</v>
      </c>
    </row>
    <row r="124">
      <c r="A124" s="14" t="s">
        <v>2826</v>
      </c>
      <c r="B124" s="14" t="s">
        <v>565</v>
      </c>
    </row>
    <row r="125">
      <c r="A125" s="13" t="s">
        <v>404</v>
      </c>
      <c r="B125" s="13" t="s">
        <v>2137</v>
      </c>
    </row>
    <row r="126">
      <c r="A126" s="14" t="s">
        <v>2424</v>
      </c>
      <c r="B126" s="14" t="s">
        <v>2137</v>
      </c>
    </row>
    <row r="127">
      <c r="A127" s="13" t="s">
        <v>122</v>
      </c>
      <c r="B127" s="13" t="s">
        <v>2137</v>
      </c>
    </row>
    <row r="128">
      <c r="A128" s="14" t="s">
        <v>2137</v>
      </c>
      <c r="B128" s="14" t="s">
        <v>2137</v>
      </c>
    </row>
    <row r="129">
      <c r="A129" s="13" t="s">
        <v>1405</v>
      </c>
      <c r="B129" s="13" t="s">
        <v>1052</v>
      </c>
    </row>
    <row r="130">
      <c r="A130" s="14" t="s">
        <v>1052</v>
      </c>
      <c r="B130" s="14" t="s">
        <v>1052</v>
      </c>
    </row>
    <row r="131">
      <c r="A131" s="13" t="s">
        <v>1440</v>
      </c>
      <c r="B131" s="13" t="s">
        <v>2827</v>
      </c>
    </row>
    <row r="132">
      <c r="A132" s="28" t="s">
        <v>2615</v>
      </c>
      <c r="B132" s="14" t="s">
        <v>2495</v>
      </c>
    </row>
    <row r="133">
      <c r="A133" s="13" t="s">
        <v>1656</v>
      </c>
      <c r="B133" s="13" t="s">
        <v>2495</v>
      </c>
    </row>
    <row r="134">
      <c r="A134" s="16" t="s">
        <v>1463</v>
      </c>
      <c r="B134" s="14" t="s">
        <v>2495</v>
      </c>
    </row>
    <row r="135">
      <c r="A135" s="15" t="s">
        <v>28</v>
      </c>
      <c r="B135" s="13" t="s">
        <v>2495</v>
      </c>
    </row>
    <row r="136">
      <c r="A136" s="14" t="s">
        <v>2828</v>
      </c>
      <c r="B136" s="14" t="s">
        <v>2495</v>
      </c>
    </row>
    <row r="137">
      <c r="A137" s="13" t="s">
        <v>2219</v>
      </c>
      <c r="B137" s="13" t="s">
        <v>2495</v>
      </c>
    </row>
    <row r="138">
      <c r="A138" s="14" t="s">
        <v>2495</v>
      </c>
      <c r="B138" s="14" t="s">
        <v>2495</v>
      </c>
    </row>
    <row r="139">
      <c r="A139" s="13" t="s">
        <v>1768</v>
      </c>
      <c r="B139" s="13" t="s">
        <v>1416</v>
      </c>
    </row>
    <row r="140">
      <c r="A140" s="14" t="s">
        <v>452</v>
      </c>
      <c r="B140" s="14" t="s">
        <v>1416</v>
      </c>
    </row>
    <row r="141">
      <c r="A141" s="13" t="s">
        <v>1416</v>
      </c>
      <c r="B141" s="13" t="s">
        <v>1416</v>
      </c>
    </row>
    <row r="142">
      <c r="A142" s="14" t="s">
        <v>2829</v>
      </c>
      <c r="B142" s="14" t="s">
        <v>1416</v>
      </c>
    </row>
    <row r="143">
      <c r="A143" s="17" t="s">
        <v>1237</v>
      </c>
      <c r="B143" s="13" t="s">
        <v>1546</v>
      </c>
    </row>
    <row r="144">
      <c r="A144" s="16" t="s">
        <v>113</v>
      </c>
      <c r="B144" s="14" t="s">
        <v>1546</v>
      </c>
    </row>
    <row r="145">
      <c r="A145" s="13" t="s">
        <v>1546</v>
      </c>
      <c r="B145" s="13" t="s">
        <v>1546</v>
      </c>
    </row>
    <row r="146">
      <c r="A146" s="14" t="s">
        <v>1587</v>
      </c>
      <c r="B146" s="14" t="s">
        <v>1587</v>
      </c>
    </row>
    <row r="148">
      <c r="B148" s="29"/>
    </row>
  </sheetData>
  <autoFilter ref="$A$1:$B$146">
    <sortState ref="A1:B146">
      <sortCondition ref="B1:B14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44.88"/>
    <col customWidth="1" min="4" max="4" width="79.63"/>
    <col customWidth="1" min="5" max="6" width="44.88"/>
    <col customWidth="1" min="8" max="8" width="17.0"/>
    <col customWidth="1" min="9" max="9" width="8.38"/>
  </cols>
  <sheetData>
    <row r="1">
      <c r="A1" s="11" t="s">
        <v>2830</v>
      </c>
      <c r="B1" s="30" t="str">
        <f t="array" ref="B1:G50593">'Form Responses 1'!E:J</f>
        <v>Domisili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11" t="s">
        <v>11</v>
      </c>
      <c r="I1" s="11" t="s">
        <v>12</v>
      </c>
    </row>
    <row r="2">
      <c r="A2" s="11">
        <v>1.0</v>
      </c>
      <c r="B2" s="30" t="s">
        <v>19</v>
      </c>
      <c r="C2" s="30" t="s">
        <v>20</v>
      </c>
      <c r="D2" s="30" t="s">
        <v>21</v>
      </c>
      <c r="E2" s="30" t="s">
        <v>22</v>
      </c>
      <c r="F2" s="30" t="s">
        <v>23</v>
      </c>
      <c r="G2" s="30" t="s">
        <v>24</v>
      </c>
      <c r="H2" s="30" t="str">
        <f>IFERROR(VLOOKUP(TRIM(IF(ISNUMBER(FIND(",", B2)),LEFT(B2,FIND(",",B2)-1),B2)),master!A:B,2,FALSE),"Belum ada mapping")
</f>
        <v>Jawa Tengah</v>
      </c>
      <c r="I2" s="30">
        <f>IFERROR(__xludf.DUMMYFUNCTION("IF(REGEXMATCH(F2,""Cari Kerja""),1,0)"),1.0)</f>
        <v>1</v>
      </c>
    </row>
    <row r="3">
      <c r="A3" s="11">
        <v>2.0</v>
      </c>
      <c r="B3" s="30" t="s">
        <v>28</v>
      </c>
      <c r="C3" s="30" t="s">
        <v>20</v>
      </c>
      <c r="D3" s="30" t="s">
        <v>29</v>
      </c>
      <c r="E3" s="30" t="s">
        <v>30</v>
      </c>
      <c r="F3" s="30" t="s">
        <v>31</v>
      </c>
      <c r="G3" s="30" t="s">
        <v>24</v>
      </c>
      <c r="H3" s="30" t="str">
        <f>IFERROR(VLOOKUP(TRIM(IF(ISNUMBER(FIND(",", B3)),LEFT(B3,FIND(",",B3)-1),B3)),master!A:B,2,FALSE),"Belum ada mapping")
</f>
        <v>Sumatera Barat</v>
      </c>
      <c r="I3" s="30">
        <f>IFERROR(__xludf.DUMMYFUNCTION("IF(REGEXMATCH(F3,""Cari Kerja""),1,0)"),1.0)</f>
        <v>1</v>
      </c>
    </row>
    <row r="4">
      <c r="A4" s="11">
        <v>3.0</v>
      </c>
      <c r="B4" s="30" t="s">
        <v>35</v>
      </c>
      <c r="C4" s="30" t="s">
        <v>20</v>
      </c>
      <c r="D4" s="30" t="s">
        <v>36</v>
      </c>
      <c r="E4" s="30" t="s">
        <v>37</v>
      </c>
      <c r="F4" s="30" t="s">
        <v>23</v>
      </c>
      <c r="G4" s="30" t="s">
        <v>38</v>
      </c>
      <c r="H4" s="30" t="str">
        <f>IFERROR(VLOOKUP(TRIM(IF(ISNUMBER(FIND(",", B4)),LEFT(B4,FIND(",",B4)-1),B4)),master!A:B,2,FALSE),"Belum ada mapping")
</f>
        <v>Jawa Timur</v>
      </c>
      <c r="I4" s="30">
        <f>IFERROR(__xludf.DUMMYFUNCTION("IF(REGEXMATCH(F4,""Cari Kerja""),1,0)"),1.0)</f>
        <v>1</v>
      </c>
    </row>
    <row r="5">
      <c r="A5" s="11">
        <v>4.0</v>
      </c>
      <c r="B5" s="30" t="s">
        <v>42</v>
      </c>
      <c r="C5" s="30" t="s">
        <v>20</v>
      </c>
      <c r="D5" s="30" t="s">
        <v>43</v>
      </c>
      <c r="E5" s="30" t="s">
        <v>44</v>
      </c>
      <c r="F5" s="30" t="s">
        <v>13</v>
      </c>
      <c r="G5" s="30" t="s">
        <v>24</v>
      </c>
      <c r="H5" s="30" t="str">
        <f>IFERROR(VLOOKUP(TRIM(IF(ISNUMBER(FIND(",", B5)),LEFT(B5,FIND(",",B5)-1),B5)),master!A:B,2,FALSE),"Belum ada mapping")
</f>
        <v>Jawa Barat</v>
      </c>
      <c r="I5" s="30">
        <f>IFERROR(__xludf.DUMMYFUNCTION("IF(REGEXMATCH(F5,""Cari Kerja""),1,0)"),0.0)</f>
        <v>0</v>
      </c>
    </row>
    <row r="6">
      <c r="A6" s="11">
        <v>5.0</v>
      </c>
      <c r="B6" s="30" t="s">
        <v>48</v>
      </c>
      <c r="C6" s="30" t="s">
        <v>49</v>
      </c>
      <c r="D6" s="30" t="s">
        <v>50</v>
      </c>
      <c r="E6" s="30" t="s">
        <v>51</v>
      </c>
      <c r="F6" s="30" t="s">
        <v>52</v>
      </c>
      <c r="G6" s="30" t="s">
        <v>38</v>
      </c>
      <c r="H6" s="30" t="str">
        <f>IFERROR(VLOOKUP(TRIM(IF(ISNUMBER(FIND(",", B6)),LEFT(B6,FIND(",",B6)-1),B6)),master!A:B,2,FALSE),"Belum ada mapping")
</f>
        <v>DI Yogyakarta</v>
      </c>
      <c r="I6" s="30">
        <f>IFERROR(__xludf.DUMMYFUNCTION("IF(REGEXMATCH(F6,""Cari Kerja""),1,0)"),0.0)</f>
        <v>0</v>
      </c>
    </row>
    <row r="7">
      <c r="A7" s="11">
        <v>6.0</v>
      </c>
      <c r="B7" s="30" t="s">
        <v>56</v>
      </c>
      <c r="C7" s="30" t="s">
        <v>20</v>
      </c>
      <c r="D7" s="30" t="s">
        <v>57</v>
      </c>
      <c r="E7" s="30" t="s">
        <v>58</v>
      </c>
      <c r="F7" s="30" t="s">
        <v>59</v>
      </c>
      <c r="G7" s="30" t="s">
        <v>38</v>
      </c>
      <c r="H7" s="30" t="str">
        <f>IFERROR(VLOOKUP(TRIM(IF(ISNUMBER(FIND(",", B7)),LEFT(B7,FIND(",",B7)-1),B7)),master!A:B,2,FALSE),"Belum ada mapping")
</f>
        <v>Banten</v>
      </c>
      <c r="I7" s="30">
        <f>IFERROR(__xludf.DUMMYFUNCTION("IF(REGEXMATCH(F7,""Cari Kerja""),1,0)"),0.0)</f>
        <v>0</v>
      </c>
    </row>
    <row r="8">
      <c r="A8" s="11">
        <v>7.0</v>
      </c>
      <c r="B8" s="30" t="s">
        <v>63</v>
      </c>
      <c r="C8" s="30" t="s">
        <v>49</v>
      </c>
      <c r="D8" s="30" t="s">
        <v>64</v>
      </c>
      <c r="E8" s="30" t="s">
        <v>51</v>
      </c>
      <c r="F8" s="30" t="s">
        <v>31</v>
      </c>
      <c r="G8" s="30" t="s">
        <v>24</v>
      </c>
      <c r="H8" s="30" t="str">
        <f>IFERROR(VLOOKUP(TRIM(IF(ISNUMBER(FIND(",", B8)),LEFT(B8,FIND(",",B8)-1),B8)),master!A:B,2,FALSE),"Belum ada mapping")
</f>
        <v>Jawa Tengah</v>
      </c>
      <c r="I8" s="30">
        <f>IFERROR(__xludf.DUMMYFUNCTION("IF(REGEXMATCH(F8,""Cari Kerja""),1,0)"),1.0)</f>
        <v>1</v>
      </c>
    </row>
    <row r="9">
      <c r="A9" s="11">
        <v>8.0</v>
      </c>
      <c r="B9" s="30" t="s">
        <v>68</v>
      </c>
      <c r="C9" s="30" t="s">
        <v>20</v>
      </c>
      <c r="D9" s="30" t="s">
        <v>69</v>
      </c>
      <c r="E9" s="30" t="s">
        <v>70</v>
      </c>
      <c r="F9" s="30" t="s">
        <v>23</v>
      </c>
      <c r="G9" s="30" t="s">
        <v>24</v>
      </c>
      <c r="H9" s="30" t="str">
        <f>IFERROR(VLOOKUP(TRIM(IF(ISNUMBER(FIND(",", B9)),LEFT(B9,FIND(",",B9)-1),B9)),master!A:B,2,FALSE),"Belum ada mapping")
</f>
        <v>Jawa Tengah</v>
      </c>
      <c r="I9" s="30">
        <f>IFERROR(__xludf.DUMMYFUNCTION("IF(REGEXMATCH(F9,""Cari Kerja""),1,0)"),1.0)</f>
        <v>1</v>
      </c>
    </row>
    <row r="10">
      <c r="A10" s="11">
        <v>9.0</v>
      </c>
      <c r="B10" s="30" t="s">
        <v>74</v>
      </c>
      <c r="C10" s="30" t="s">
        <v>49</v>
      </c>
      <c r="D10" s="30" t="s">
        <v>75</v>
      </c>
      <c r="E10" s="30" t="s">
        <v>51</v>
      </c>
      <c r="F10" s="30" t="s">
        <v>59</v>
      </c>
      <c r="G10" s="30" t="s">
        <v>76</v>
      </c>
      <c r="H10" s="30" t="str">
        <f>IFERROR(VLOOKUP(TRIM(IF(ISNUMBER(FIND(",", B10)),LEFT(B10,FIND(",",B10)-1),B10)),master!A:B,2,FALSE),"Belum ada mapping")
</f>
        <v>Banten</v>
      </c>
      <c r="I10" s="30">
        <f>IFERROR(__xludf.DUMMYFUNCTION("IF(REGEXMATCH(F10,""Cari Kerja""),1,0)"),0.0)</f>
        <v>0</v>
      </c>
    </row>
    <row r="11">
      <c r="A11" s="11">
        <v>10.0</v>
      </c>
      <c r="B11" s="30" t="s">
        <v>80</v>
      </c>
      <c r="C11" s="30" t="s">
        <v>49</v>
      </c>
      <c r="D11" s="30" t="s">
        <v>81</v>
      </c>
      <c r="E11" s="30" t="s">
        <v>82</v>
      </c>
      <c r="F11" s="30" t="s">
        <v>31</v>
      </c>
      <c r="G11" s="30" t="s">
        <v>38</v>
      </c>
      <c r="H11" s="30" t="str">
        <f>IFERROR(VLOOKUP(TRIM(IF(ISNUMBER(FIND(",", B11)),LEFT(B11,FIND(",",B11)-1),B11)),master!A:B,2,FALSE),"Belum ada mapping")
</f>
        <v>Jawa Timur</v>
      </c>
      <c r="I11" s="30">
        <f>IFERROR(__xludf.DUMMYFUNCTION("IF(REGEXMATCH(F11,""Cari Kerja""),1,0)"),1.0)</f>
        <v>1</v>
      </c>
    </row>
    <row r="12">
      <c r="A12" s="11">
        <v>11.0</v>
      </c>
      <c r="B12" s="30" t="s">
        <v>86</v>
      </c>
      <c r="C12" s="30" t="s">
        <v>20</v>
      </c>
      <c r="D12" s="30" t="s">
        <v>69</v>
      </c>
      <c r="E12" s="30" t="s">
        <v>87</v>
      </c>
      <c r="F12" s="30" t="s">
        <v>12</v>
      </c>
      <c r="G12" s="30" t="s">
        <v>76</v>
      </c>
      <c r="H12" s="30" t="str">
        <f>IFERROR(VLOOKUP(TRIM(IF(ISNUMBER(FIND(",", B12)),LEFT(B12,FIND(",",B12)-1),B12)),master!A:B,2,FALSE),"Belum ada mapping")
</f>
        <v>Jawa Tengah</v>
      </c>
      <c r="I12" s="30">
        <f>IFERROR(__xludf.DUMMYFUNCTION("IF(REGEXMATCH(F12,""Cari Kerja""),1,0)"),1.0)</f>
        <v>1</v>
      </c>
    </row>
    <row r="13">
      <c r="A13" s="11">
        <v>12.0</v>
      </c>
      <c r="B13" s="30" t="s">
        <v>19</v>
      </c>
      <c r="C13" s="30" t="s">
        <v>20</v>
      </c>
      <c r="D13" s="30" t="s">
        <v>69</v>
      </c>
      <c r="E13" s="30" t="s">
        <v>51</v>
      </c>
      <c r="F13" s="30" t="s">
        <v>23</v>
      </c>
      <c r="G13" s="30" t="s">
        <v>24</v>
      </c>
      <c r="H13" s="30" t="str">
        <f>IFERROR(VLOOKUP(TRIM(IF(ISNUMBER(FIND(",", B13)),LEFT(B13,FIND(",",B13)-1),B13)),master!A:B,2,FALSE),"Belum ada mapping")
</f>
        <v>Jawa Tengah</v>
      </c>
      <c r="I13" s="30">
        <f>IFERROR(__xludf.DUMMYFUNCTION("IF(REGEXMATCH(F13,""Cari Kerja""),1,0)"),1.0)</f>
        <v>1</v>
      </c>
    </row>
    <row r="14">
      <c r="A14" s="11">
        <v>13.0</v>
      </c>
      <c r="B14" s="30" t="s">
        <v>92</v>
      </c>
      <c r="C14" s="30" t="s">
        <v>20</v>
      </c>
      <c r="D14" s="30" t="s">
        <v>69</v>
      </c>
      <c r="E14" s="30" t="s">
        <v>93</v>
      </c>
      <c r="F14" s="30" t="s">
        <v>13</v>
      </c>
      <c r="G14" s="30" t="s">
        <v>38</v>
      </c>
      <c r="H14" s="30" t="str">
        <f>IFERROR(VLOOKUP(TRIM(IF(ISNUMBER(FIND(",", B14)),LEFT(B14,FIND(",",B14)-1),B14)),master!A:B,2,FALSE),"Belum ada mapping")
</f>
        <v>Jawa Barat</v>
      </c>
      <c r="I14" s="30">
        <f>IFERROR(__xludf.DUMMYFUNCTION("IF(REGEXMATCH(F14,""Cari Kerja""),1,0)"),0.0)</f>
        <v>0</v>
      </c>
    </row>
    <row r="15">
      <c r="A15" s="11">
        <v>14.0</v>
      </c>
      <c r="B15" s="30" t="s">
        <v>97</v>
      </c>
      <c r="C15" s="30" t="s">
        <v>49</v>
      </c>
      <c r="D15" s="30" t="s">
        <v>98</v>
      </c>
      <c r="E15" s="30" t="s">
        <v>30</v>
      </c>
      <c r="F15" s="30" t="s">
        <v>59</v>
      </c>
      <c r="G15" s="30" t="s">
        <v>24</v>
      </c>
      <c r="H15" s="30" t="str">
        <f>IFERROR(VLOOKUP(TRIM(IF(ISNUMBER(FIND(",", B15)),LEFT(B15,FIND(",",B15)-1),B15)),master!A:B,2,FALSE),"Belum ada mapping")
</f>
        <v>Jakarta</v>
      </c>
      <c r="I15" s="30">
        <f>IFERROR(__xludf.DUMMYFUNCTION("IF(REGEXMATCH(F15,""Cari Kerja""),1,0)"),0.0)</f>
        <v>0</v>
      </c>
    </row>
    <row r="16">
      <c r="A16" s="11">
        <v>15.0</v>
      </c>
      <c r="B16" s="30" t="s">
        <v>28</v>
      </c>
      <c r="C16" s="30" t="s">
        <v>49</v>
      </c>
      <c r="D16" s="30" t="s">
        <v>102</v>
      </c>
      <c r="E16" s="30" t="s">
        <v>103</v>
      </c>
      <c r="F16" s="30" t="s">
        <v>31</v>
      </c>
      <c r="G16" s="30" t="s">
        <v>24</v>
      </c>
      <c r="H16" s="30" t="str">
        <f>IFERROR(VLOOKUP(TRIM(IF(ISNUMBER(FIND(",", B16)),LEFT(B16,FIND(",",B16)-1),B16)),master!A:B,2,FALSE),"Belum ada mapping")
</f>
        <v>Sumatera Barat</v>
      </c>
      <c r="I16" s="30">
        <f>IFERROR(__xludf.DUMMYFUNCTION("IF(REGEXMATCH(F16,""Cari Kerja""),1,0)"),1.0)</f>
        <v>1</v>
      </c>
    </row>
    <row r="17">
      <c r="A17" s="11">
        <v>16.0</v>
      </c>
      <c r="B17" s="30" t="s">
        <v>107</v>
      </c>
      <c r="C17" s="30" t="s">
        <v>49</v>
      </c>
      <c r="D17" s="30" t="s">
        <v>108</v>
      </c>
      <c r="E17" s="30" t="s">
        <v>37</v>
      </c>
      <c r="F17" s="30" t="s">
        <v>109</v>
      </c>
      <c r="G17" s="30" t="s">
        <v>38</v>
      </c>
      <c r="H17" s="30" t="str">
        <f>IFERROR(VLOOKUP(TRIM(IF(ISNUMBER(FIND(",", B17)),LEFT(B17,FIND(",",B17)-1),B17)),master!A:B,2,FALSE),"Belum ada mapping")
</f>
        <v>Jawa Barat</v>
      </c>
      <c r="I17" s="30">
        <f>IFERROR(__xludf.DUMMYFUNCTION("IF(REGEXMATCH(F17,""Cari Kerja""),1,0)"),1.0)</f>
        <v>1</v>
      </c>
    </row>
    <row r="18">
      <c r="A18" s="11">
        <v>17.0</v>
      </c>
      <c r="B18" s="30" t="s">
        <v>113</v>
      </c>
      <c r="C18" s="30" t="s">
        <v>49</v>
      </c>
      <c r="D18" s="30" t="s">
        <v>114</v>
      </c>
      <c r="E18" s="30" t="s">
        <v>51</v>
      </c>
      <c r="F18" s="30" t="s">
        <v>31</v>
      </c>
      <c r="G18" s="30" t="s">
        <v>24</v>
      </c>
      <c r="H18" s="30" t="str">
        <f>IFERROR(VLOOKUP(TRIM(IF(ISNUMBER(FIND(",", B18)),LEFT(B18,FIND(",",B18)-1),B18)),master!A:B,2,FALSE),"Belum ada mapping")
</f>
        <v>Sumatera Utara</v>
      </c>
      <c r="I18" s="30">
        <f>IFERROR(__xludf.DUMMYFUNCTION("IF(REGEXMATCH(F18,""Cari Kerja""),1,0)"),1.0)</f>
        <v>1</v>
      </c>
    </row>
    <row r="19">
      <c r="A19" s="11">
        <v>18.0</v>
      </c>
      <c r="B19" s="30" t="s">
        <v>118</v>
      </c>
      <c r="C19" s="30" t="s">
        <v>20</v>
      </c>
      <c r="D19" s="30" t="s">
        <v>21</v>
      </c>
      <c r="E19" s="30" t="s">
        <v>93</v>
      </c>
      <c r="F19" s="30" t="s">
        <v>23</v>
      </c>
      <c r="G19" s="30" t="s">
        <v>24</v>
      </c>
      <c r="H19" s="30" t="str">
        <f>IFERROR(VLOOKUP(TRIM(IF(ISNUMBER(FIND(",", B19)),LEFT(B19,FIND(",",B19)-1),B19)),master!A:B,2,FALSE),"Belum ada mapping")
</f>
        <v>Jawa Timur</v>
      </c>
      <c r="I19" s="30">
        <f>IFERROR(__xludf.DUMMYFUNCTION("IF(REGEXMATCH(F19,""Cari Kerja""),1,0)"),1.0)</f>
        <v>1</v>
      </c>
    </row>
    <row r="20">
      <c r="A20" s="11">
        <v>19.0</v>
      </c>
      <c r="B20" s="30" t="s">
        <v>122</v>
      </c>
      <c r="C20" s="30" t="s">
        <v>20</v>
      </c>
      <c r="D20" s="30" t="s">
        <v>123</v>
      </c>
      <c r="E20" s="30" t="s">
        <v>51</v>
      </c>
      <c r="F20" s="30" t="s">
        <v>23</v>
      </c>
      <c r="G20" s="30" t="s">
        <v>24</v>
      </c>
      <c r="H20" s="30" t="str">
        <f>IFERROR(VLOOKUP(TRIM(IF(ISNUMBER(FIND(",", B20)),LEFT(B20,FIND(",",B20)-1),B20)),master!A:B,2,FALSE),"Belum ada mapping")
</f>
        <v>Sulawesi Selatan</v>
      </c>
      <c r="I20" s="30">
        <f>IFERROR(__xludf.DUMMYFUNCTION("IF(REGEXMATCH(F20,""Cari Kerja""),1,0)"),1.0)</f>
        <v>1</v>
      </c>
    </row>
    <row r="21">
      <c r="A21" s="11">
        <v>20.0</v>
      </c>
      <c r="B21" s="30" t="s">
        <v>127</v>
      </c>
      <c r="C21" s="30" t="s">
        <v>20</v>
      </c>
      <c r="D21" s="30" t="s">
        <v>128</v>
      </c>
      <c r="E21" s="30" t="s">
        <v>129</v>
      </c>
      <c r="F21" s="30" t="s">
        <v>130</v>
      </c>
      <c r="G21" s="30" t="s">
        <v>24</v>
      </c>
      <c r="H21" s="30" t="str">
        <f>IFERROR(VLOOKUP(TRIM(IF(ISNUMBER(FIND(",", B21)),LEFT(B21,FIND(",",B21)-1),B21)),master!A:B,2,FALSE),"Belum ada mapping")
</f>
        <v>Jawa Barat</v>
      </c>
      <c r="I21" s="30">
        <f>IFERROR(__xludf.DUMMYFUNCTION("IF(REGEXMATCH(F21,""Cari Kerja""),1,0)"),1.0)</f>
        <v>1</v>
      </c>
    </row>
    <row r="22">
      <c r="A22" s="11">
        <v>21.0</v>
      </c>
      <c r="B22" s="30" t="s">
        <v>134</v>
      </c>
      <c r="C22" s="30" t="s">
        <v>20</v>
      </c>
      <c r="D22" s="30" t="s">
        <v>135</v>
      </c>
      <c r="E22" s="30" t="s">
        <v>136</v>
      </c>
      <c r="F22" s="30" t="s">
        <v>130</v>
      </c>
      <c r="G22" s="30" t="s">
        <v>24</v>
      </c>
      <c r="H22" s="30" t="str">
        <f>IFERROR(VLOOKUP(TRIM(IF(ISNUMBER(FIND(",", B22)),LEFT(B22,FIND(",",B22)-1),B22)),master!A:B,2,FALSE),"Belum ada mapping")
</f>
        <v>Jawa Barat</v>
      </c>
      <c r="I22" s="30">
        <f>IFERROR(__xludf.DUMMYFUNCTION("IF(REGEXMATCH(F22,""Cari Kerja""),1,0)"),1.0)</f>
        <v>1</v>
      </c>
    </row>
    <row r="23">
      <c r="A23" s="11">
        <v>22.0</v>
      </c>
      <c r="B23" s="30" t="s">
        <v>92</v>
      </c>
      <c r="C23" s="30" t="s">
        <v>49</v>
      </c>
      <c r="D23" s="30" t="s">
        <v>140</v>
      </c>
      <c r="E23" s="30" t="s">
        <v>51</v>
      </c>
      <c r="F23" s="30" t="s">
        <v>52</v>
      </c>
      <c r="G23" s="30" t="s">
        <v>76</v>
      </c>
      <c r="H23" s="30" t="str">
        <f>IFERROR(VLOOKUP(TRIM(IF(ISNUMBER(FIND(",", B23)),LEFT(B23,FIND(",",B23)-1),B23)),master!A:B,2,FALSE),"Belum ada mapping")
</f>
        <v>Jawa Barat</v>
      </c>
      <c r="I23" s="30">
        <f>IFERROR(__xludf.DUMMYFUNCTION("IF(REGEXMATCH(F23,""Cari Kerja""),1,0)"),0.0)</f>
        <v>0</v>
      </c>
    </row>
    <row r="24">
      <c r="A24" s="11">
        <v>23.0</v>
      </c>
      <c r="B24" s="30" t="s">
        <v>74</v>
      </c>
      <c r="C24" s="30" t="s">
        <v>20</v>
      </c>
      <c r="D24" s="30" t="s">
        <v>144</v>
      </c>
      <c r="E24" s="30" t="s">
        <v>51</v>
      </c>
      <c r="F24" s="30" t="s">
        <v>59</v>
      </c>
      <c r="G24" s="30" t="s">
        <v>24</v>
      </c>
      <c r="H24" s="30" t="str">
        <f>IFERROR(VLOOKUP(TRIM(IF(ISNUMBER(FIND(",", B24)),LEFT(B24,FIND(",",B24)-1),B24)),master!A:B,2,FALSE),"Belum ada mapping")
</f>
        <v>Banten</v>
      </c>
      <c r="I24" s="30">
        <f>IFERROR(__xludf.DUMMYFUNCTION("IF(REGEXMATCH(F24,""Cari Kerja""),1,0)"),0.0)</f>
        <v>0</v>
      </c>
    </row>
    <row r="25">
      <c r="A25" s="11">
        <v>24.0</v>
      </c>
      <c r="B25" s="30" t="s">
        <v>148</v>
      </c>
      <c r="C25" s="30" t="s">
        <v>49</v>
      </c>
      <c r="D25" s="30" t="s">
        <v>149</v>
      </c>
      <c r="E25" s="30" t="s">
        <v>93</v>
      </c>
      <c r="F25" s="30" t="s">
        <v>13</v>
      </c>
      <c r="G25" s="30" t="s">
        <v>24</v>
      </c>
      <c r="H25" s="30" t="str">
        <f>IFERROR(VLOOKUP(TRIM(IF(ISNUMBER(FIND(",", B25)),LEFT(B25,FIND(",",B25)-1),B25)),master!A:B,2,FALSE),"Belum ada mapping")
</f>
        <v>Riau</v>
      </c>
      <c r="I25" s="30">
        <f>IFERROR(__xludf.DUMMYFUNCTION("IF(REGEXMATCH(F25,""Cari Kerja""),1,0)"),0.0)</f>
        <v>0</v>
      </c>
    </row>
    <row r="26">
      <c r="A26" s="11">
        <v>25.0</v>
      </c>
      <c r="B26" s="30" t="s">
        <v>148</v>
      </c>
      <c r="C26" s="30" t="s">
        <v>49</v>
      </c>
      <c r="D26" s="30" t="s">
        <v>150</v>
      </c>
      <c r="E26" s="30" t="s">
        <v>93</v>
      </c>
      <c r="F26" s="30" t="s">
        <v>13</v>
      </c>
      <c r="G26" s="30" t="s">
        <v>24</v>
      </c>
      <c r="H26" s="30" t="str">
        <f>IFERROR(VLOOKUP(TRIM(IF(ISNUMBER(FIND(",", B26)),LEFT(B26,FIND(",",B26)-1),B26)),master!A:B,2,FALSE),"Belum ada mapping")
</f>
        <v>Riau</v>
      </c>
      <c r="I26" s="30">
        <f>IFERROR(__xludf.DUMMYFUNCTION("IF(REGEXMATCH(F26,""Cari Kerja""),1,0)"),0.0)</f>
        <v>0</v>
      </c>
    </row>
    <row r="27">
      <c r="A27" s="11">
        <v>26.0</v>
      </c>
      <c r="B27" s="30" t="s">
        <v>151</v>
      </c>
      <c r="C27" s="30" t="s">
        <v>49</v>
      </c>
      <c r="D27" s="30" t="s">
        <v>152</v>
      </c>
      <c r="E27" s="30" t="s">
        <v>153</v>
      </c>
      <c r="F27" s="30" t="s">
        <v>154</v>
      </c>
      <c r="G27" s="30" t="s">
        <v>24</v>
      </c>
      <c r="H27" s="30" t="str">
        <f>IFERROR(VLOOKUP(TRIM(IF(ISNUMBER(FIND(",", B27)),LEFT(B27,FIND(",",B27)-1),B27)),master!A:B,2,FALSE),"Belum ada mapping")
</f>
        <v>Riau</v>
      </c>
      <c r="I27" s="30">
        <f>IFERROR(__xludf.DUMMYFUNCTION("IF(REGEXMATCH(F27,""Cari Kerja""),1,0)"),0.0)</f>
        <v>0</v>
      </c>
    </row>
    <row r="28">
      <c r="A28" s="11">
        <v>27.0</v>
      </c>
      <c r="B28" s="30" t="s">
        <v>158</v>
      </c>
      <c r="C28" s="30" t="s">
        <v>20</v>
      </c>
      <c r="D28" s="30" t="s">
        <v>159</v>
      </c>
      <c r="E28" s="30" t="s">
        <v>160</v>
      </c>
      <c r="F28" s="30" t="s">
        <v>31</v>
      </c>
      <c r="G28" s="30" t="s">
        <v>24</v>
      </c>
      <c r="H28" s="30" t="str">
        <f>IFERROR(VLOOKUP(TRIM(IF(ISNUMBER(FIND(",", B28)),LEFT(B28,FIND(",",B28)-1),B28)),master!A:B,2,FALSE),"Belum ada mapping")
</f>
        <v>Jawa Barat</v>
      </c>
      <c r="I28" s="30">
        <f>IFERROR(__xludf.DUMMYFUNCTION("IF(REGEXMATCH(F28,""Cari Kerja""),1,0)"),1.0)</f>
        <v>1</v>
      </c>
    </row>
    <row r="29">
      <c r="A29" s="11">
        <v>28.0</v>
      </c>
      <c r="B29" s="30" t="s">
        <v>164</v>
      </c>
      <c r="C29" s="30" t="s">
        <v>20</v>
      </c>
      <c r="D29" s="30" t="s">
        <v>69</v>
      </c>
      <c r="E29" s="30" t="s">
        <v>165</v>
      </c>
      <c r="F29" s="30" t="s">
        <v>23</v>
      </c>
      <c r="G29" s="30" t="s">
        <v>24</v>
      </c>
      <c r="H29" s="30" t="str">
        <f>IFERROR(VLOOKUP(TRIM(IF(ISNUMBER(FIND(",", B29)),LEFT(B29,FIND(",",B29)-1),B29)),master!A:B,2,FALSE),"Belum ada mapping")
</f>
        <v>Jawa Tengah</v>
      </c>
      <c r="I29" s="30">
        <f>IFERROR(__xludf.DUMMYFUNCTION("IF(REGEXMATCH(F29,""Cari Kerja""),1,0)"),1.0)</f>
        <v>1</v>
      </c>
    </row>
    <row r="30">
      <c r="A30" s="11">
        <v>29.0</v>
      </c>
      <c r="B30" s="30" t="s">
        <v>113</v>
      </c>
      <c r="C30" s="30" t="s">
        <v>20</v>
      </c>
      <c r="D30" s="30" t="s">
        <v>169</v>
      </c>
      <c r="E30" s="30" t="s">
        <v>170</v>
      </c>
      <c r="F30" s="30" t="s">
        <v>12</v>
      </c>
      <c r="G30" s="30" t="s">
        <v>24</v>
      </c>
      <c r="H30" s="30" t="str">
        <f>IFERROR(VLOOKUP(TRIM(IF(ISNUMBER(FIND(",", B30)),LEFT(B30,FIND(",",B30)-1),B30)),master!A:B,2,FALSE),"Belum ada mapping")
</f>
        <v>Sumatera Utara</v>
      </c>
      <c r="I30" s="30">
        <f>IFERROR(__xludf.DUMMYFUNCTION("IF(REGEXMATCH(F30,""Cari Kerja""),1,0)"),1.0)</f>
        <v>1</v>
      </c>
    </row>
    <row r="31">
      <c r="A31" s="11">
        <v>30.0</v>
      </c>
      <c r="B31" s="30" t="s">
        <v>174</v>
      </c>
      <c r="C31" s="30" t="s">
        <v>49</v>
      </c>
      <c r="D31" s="30" t="s">
        <v>175</v>
      </c>
      <c r="E31" s="30" t="s">
        <v>176</v>
      </c>
      <c r="F31" s="30" t="s">
        <v>31</v>
      </c>
      <c r="G31" s="30" t="s">
        <v>24</v>
      </c>
      <c r="H31" s="30" t="str">
        <f>IFERROR(VLOOKUP(TRIM(IF(ISNUMBER(FIND(",", B31)),LEFT(B31,FIND(",",B31)-1),B31)),master!A:B,2,FALSE),"Belum ada mapping")
</f>
        <v>Jawa Timur</v>
      </c>
      <c r="I31" s="30">
        <f>IFERROR(__xludf.DUMMYFUNCTION("IF(REGEXMATCH(F31,""Cari Kerja""),1,0)"),1.0)</f>
        <v>1</v>
      </c>
    </row>
    <row r="32">
      <c r="A32" s="11">
        <v>31.0</v>
      </c>
      <c r="B32" s="30" t="s">
        <v>92</v>
      </c>
      <c r="C32" s="30" t="s">
        <v>20</v>
      </c>
      <c r="D32" s="30" t="s">
        <v>180</v>
      </c>
      <c r="E32" s="30" t="s">
        <v>181</v>
      </c>
      <c r="F32" s="30" t="s">
        <v>31</v>
      </c>
      <c r="G32" s="30" t="s">
        <v>24</v>
      </c>
      <c r="H32" s="30" t="str">
        <f>IFERROR(VLOOKUP(TRIM(IF(ISNUMBER(FIND(",", B32)),LEFT(B32,FIND(",",B32)-1),B32)),master!A:B,2,FALSE),"Belum ada mapping")
</f>
        <v>Jawa Barat</v>
      </c>
      <c r="I32" s="30">
        <f>IFERROR(__xludf.DUMMYFUNCTION("IF(REGEXMATCH(F32,""Cari Kerja""),1,0)"),1.0)</f>
        <v>1</v>
      </c>
    </row>
    <row r="33">
      <c r="A33" s="11">
        <v>32.0</v>
      </c>
      <c r="B33" s="30" t="s">
        <v>185</v>
      </c>
      <c r="C33" s="30" t="s">
        <v>49</v>
      </c>
      <c r="D33" s="30" t="s">
        <v>186</v>
      </c>
      <c r="E33" s="30" t="s">
        <v>187</v>
      </c>
      <c r="F33" s="30" t="s">
        <v>31</v>
      </c>
      <c r="G33" s="30" t="s">
        <v>38</v>
      </c>
      <c r="H33" s="30" t="str">
        <f>IFERROR(VLOOKUP(TRIM(IF(ISNUMBER(FIND(",", B33)),LEFT(B33,FIND(",",B33)-1),B33)),master!A:B,2,FALSE),"Belum ada mapping")
</f>
        <v>Jakarta</v>
      </c>
      <c r="I33" s="30">
        <f>IFERROR(__xludf.DUMMYFUNCTION("IF(REGEXMATCH(F33,""Cari Kerja""),1,0)"),1.0)</f>
        <v>1</v>
      </c>
    </row>
    <row r="34">
      <c r="A34" s="11">
        <v>33.0</v>
      </c>
      <c r="B34" s="30" t="s">
        <v>191</v>
      </c>
      <c r="C34" s="30" t="s">
        <v>49</v>
      </c>
      <c r="D34" s="30" t="s">
        <v>192</v>
      </c>
      <c r="E34" s="30" t="s">
        <v>193</v>
      </c>
      <c r="F34" s="30" t="s">
        <v>13</v>
      </c>
      <c r="G34" s="30" t="s">
        <v>24</v>
      </c>
      <c r="H34" s="30" t="str">
        <f>IFERROR(VLOOKUP(TRIM(IF(ISNUMBER(FIND(",", B34)),LEFT(B34,FIND(",",B34)-1),B34)),master!A:B,2,FALSE),"Belum ada mapping")
</f>
        <v>Sumatera Selatan</v>
      </c>
      <c r="I34" s="30">
        <f>IFERROR(__xludf.DUMMYFUNCTION("IF(REGEXMATCH(F34,""Cari Kerja""),1,0)"),0.0)</f>
        <v>0</v>
      </c>
    </row>
    <row r="35">
      <c r="A35" s="11">
        <v>34.0</v>
      </c>
      <c r="B35" s="30" t="s">
        <v>42</v>
      </c>
      <c r="C35" s="30" t="s">
        <v>49</v>
      </c>
      <c r="D35" s="30" t="s">
        <v>197</v>
      </c>
      <c r="E35" s="30" t="s">
        <v>198</v>
      </c>
      <c r="F35" s="30" t="s">
        <v>59</v>
      </c>
      <c r="G35" s="30" t="s">
        <v>38</v>
      </c>
      <c r="H35" s="30" t="str">
        <f>IFERROR(VLOOKUP(TRIM(IF(ISNUMBER(FIND(",", B35)),LEFT(B35,FIND(",",B35)-1),B35)),master!A:B,2,FALSE),"Belum ada mapping")
</f>
        <v>Jawa Barat</v>
      </c>
      <c r="I35" s="30">
        <f>IFERROR(__xludf.DUMMYFUNCTION("IF(REGEXMATCH(F35,""Cari Kerja""),1,0)"),0.0)</f>
        <v>0</v>
      </c>
    </row>
    <row r="36">
      <c r="A36" s="11">
        <v>35.0</v>
      </c>
      <c r="B36" s="30" t="s">
        <v>35</v>
      </c>
      <c r="C36" s="30" t="s">
        <v>49</v>
      </c>
      <c r="D36" s="30" t="s">
        <v>202</v>
      </c>
      <c r="E36" s="30" t="s">
        <v>203</v>
      </c>
      <c r="F36" s="30" t="s">
        <v>23</v>
      </c>
      <c r="G36" s="30" t="s">
        <v>24</v>
      </c>
      <c r="H36" s="30" t="str">
        <f>IFERROR(VLOOKUP(TRIM(IF(ISNUMBER(FIND(",", B36)),LEFT(B36,FIND(",",B36)-1),B36)),master!A:B,2,FALSE),"Belum ada mapping")
</f>
        <v>Jawa Timur</v>
      </c>
      <c r="I36" s="30">
        <f>IFERROR(__xludf.DUMMYFUNCTION("IF(REGEXMATCH(F36,""Cari Kerja""),1,0)"),1.0)</f>
        <v>1</v>
      </c>
    </row>
    <row r="37">
      <c r="A37" s="11">
        <v>36.0</v>
      </c>
      <c r="B37" s="30" t="s">
        <v>207</v>
      </c>
      <c r="C37" s="30" t="s">
        <v>49</v>
      </c>
      <c r="D37" s="30" t="s">
        <v>208</v>
      </c>
      <c r="E37" s="30" t="s">
        <v>209</v>
      </c>
      <c r="F37" s="30" t="s">
        <v>31</v>
      </c>
      <c r="G37" s="30" t="s">
        <v>76</v>
      </c>
      <c r="H37" s="30" t="str">
        <f>IFERROR(VLOOKUP(TRIM(IF(ISNUMBER(FIND(",", B37)),LEFT(B37,FIND(",",B37)-1),B37)),master!A:B,2,FALSE),"Belum ada mapping")
</f>
        <v>Jakarta</v>
      </c>
      <c r="I37" s="30">
        <f>IFERROR(__xludf.DUMMYFUNCTION("IF(REGEXMATCH(F37,""Cari Kerja""),1,0)"),1.0)</f>
        <v>1</v>
      </c>
    </row>
    <row r="38">
      <c r="A38" s="11">
        <v>37.0</v>
      </c>
      <c r="B38" s="30" t="s">
        <v>113</v>
      </c>
      <c r="C38" s="30" t="s">
        <v>20</v>
      </c>
      <c r="D38" s="30" t="s">
        <v>213</v>
      </c>
      <c r="E38" s="30" t="s">
        <v>214</v>
      </c>
      <c r="F38" s="30" t="s">
        <v>31</v>
      </c>
      <c r="G38" s="30" t="s">
        <v>76</v>
      </c>
      <c r="H38" s="30" t="str">
        <f>IFERROR(VLOOKUP(TRIM(IF(ISNUMBER(FIND(",", B38)),LEFT(B38,FIND(",",B38)-1),B38)),master!A:B,2,FALSE),"Belum ada mapping")
</f>
        <v>Sumatera Utara</v>
      </c>
      <c r="I38" s="30">
        <f>IFERROR(__xludf.DUMMYFUNCTION("IF(REGEXMATCH(F38,""Cari Kerja""),1,0)"),1.0)</f>
        <v>1</v>
      </c>
    </row>
    <row r="39">
      <c r="A39" s="11">
        <v>38.0</v>
      </c>
      <c r="B39" s="30" t="s">
        <v>218</v>
      </c>
      <c r="C39" s="30" t="s">
        <v>20</v>
      </c>
      <c r="D39" s="30" t="s">
        <v>219</v>
      </c>
      <c r="E39" s="30" t="s">
        <v>51</v>
      </c>
      <c r="F39" s="30" t="s">
        <v>23</v>
      </c>
      <c r="G39" s="30" t="s">
        <v>24</v>
      </c>
      <c r="H39" s="30" t="str">
        <f>IFERROR(VLOOKUP(TRIM(IF(ISNUMBER(FIND(",", B39)),LEFT(B39,FIND(",",B39)-1),B39)),master!A:B,2,FALSE),"Belum ada mapping")
</f>
        <v>Banten</v>
      </c>
      <c r="I39" s="30">
        <f>IFERROR(__xludf.DUMMYFUNCTION("IF(REGEXMATCH(F39,""Cari Kerja""),1,0)"),1.0)</f>
        <v>1</v>
      </c>
    </row>
    <row r="40">
      <c r="A40" s="11">
        <v>39.0</v>
      </c>
      <c r="B40" s="30" t="s">
        <v>223</v>
      </c>
      <c r="C40" s="30" t="s">
        <v>49</v>
      </c>
      <c r="D40" s="30" t="s">
        <v>224</v>
      </c>
      <c r="E40" s="30" t="s">
        <v>225</v>
      </c>
      <c r="F40" s="30" t="s">
        <v>13</v>
      </c>
      <c r="G40" s="30" t="s">
        <v>24</v>
      </c>
      <c r="H40" s="30" t="str">
        <f>IFERROR(VLOOKUP(TRIM(IF(ISNUMBER(FIND(",", B40)),LEFT(B40,FIND(",",B40)-1),B40)),master!A:B,2,FALSE),"Belum ada mapping")
</f>
        <v>Banten</v>
      </c>
      <c r="I40" s="30">
        <f>IFERROR(__xludf.DUMMYFUNCTION("IF(REGEXMATCH(F40,""Cari Kerja""),1,0)"),0.0)</f>
        <v>0</v>
      </c>
    </row>
    <row r="41">
      <c r="A41" s="11">
        <v>40.0</v>
      </c>
      <c r="B41" s="30" t="s">
        <v>122</v>
      </c>
      <c r="C41" s="30" t="s">
        <v>49</v>
      </c>
      <c r="D41" s="30" t="s">
        <v>229</v>
      </c>
      <c r="E41" s="30" t="s">
        <v>51</v>
      </c>
      <c r="F41" s="30" t="s">
        <v>31</v>
      </c>
      <c r="G41" s="30" t="s">
        <v>24</v>
      </c>
      <c r="H41" s="30" t="str">
        <f>IFERROR(VLOOKUP(TRIM(IF(ISNUMBER(FIND(",", B41)),LEFT(B41,FIND(",",B41)-1),B41)),master!A:B,2,FALSE),"Belum ada mapping")
</f>
        <v>Sulawesi Selatan</v>
      </c>
      <c r="I41" s="30">
        <f>IFERROR(__xludf.DUMMYFUNCTION("IF(REGEXMATCH(F41,""Cari Kerja""),1,0)"),1.0)</f>
        <v>1</v>
      </c>
    </row>
    <row r="42">
      <c r="A42" s="11">
        <v>41.0</v>
      </c>
      <c r="B42" s="30" t="s">
        <v>233</v>
      </c>
      <c r="C42" s="30" t="s">
        <v>49</v>
      </c>
      <c r="D42" s="30" t="s">
        <v>69</v>
      </c>
      <c r="E42" s="30" t="s">
        <v>234</v>
      </c>
      <c r="F42" s="30" t="s">
        <v>235</v>
      </c>
      <c r="G42" s="30" t="s">
        <v>24</v>
      </c>
      <c r="H42" s="30" t="str">
        <f>IFERROR(VLOOKUP(TRIM(IF(ISNUMBER(FIND(",", B42)),LEFT(B42,FIND(",",B42)-1),B42)),master!A:B,2,FALSE),"Belum ada mapping")
</f>
        <v>Banten</v>
      </c>
      <c r="I42" s="30">
        <f>IFERROR(__xludf.DUMMYFUNCTION("IF(REGEXMATCH(F42,""Cari Kerja""),1,0)"),1.0)</f>
        <v>1</v>
      </c>
    </row>
    <row r="43">
      <c r="A43" s="11">
        <v>42.0</v>
      </c>
      <c r="B43" s="30" t="s">
        <v>239</v>
      </c>
      <c r="C43" s="30" t="s">
        <v>20</v>
      </c>
      <c r="D43" s="30" t="s">
        <v>240</v>
      </c>
      <c r="E43" s="30" t="s">
        <v>51</v>
      </c>
      <c r="F43" s="30" t="s">
        <v>23</v>
      </c>
      <c r="G43" s="30" t="s">
        <v>24</v>
      </c>
      <c r="H43" s="30" t="str">
        <f>IFERROR(VLOOKUP(TRIM(IF(ISNUMBER(FIND(",", B43)),LEFT(B43,FIND(",",B43)-1),B43)),master!A:B,2,FALSE),"Belum ada mapping")
</f>
        <v>Banten</v>
      </c>
      <c r="I43" s="30">
        <f>IFERROR(__xludf.DUMMYFUNCTION("IF(REGEXMATCH(F43,""Cari Kerja""),1,0)"),1.0)</f>
        <v>1</v>
      </c>
    </row>
    <row r="44">
      <c r="A44" s="11">
        <v>43.0</v>
      </c>
      <c r="B44" s="30" t="s">
        <v>174</v>
      </c>
      <c r="C44" s="30" t="s">
        <v>49</v>
      </c>
      <c r="D44" s="30" t="s">
        <v>244</v>
      </c>
      <c r="E44" s="30" t="s">
        <v>245</v>
      </c>
      <c r="F44" s="30" t="s">
        <v>52</v>
      </c>
      <c r="G44" s="30" t="s">
        <v>24</v>
      </c>
      <c r="H44" s="30" t="str">
        <f>IFERROR(VLOOKUP(TRIM(IF(ISNUMBER(FIND(",", B44)),LEFT(B44,FIND(",",B44)-1),B44)),master!A:B,2,FALSE),"Belum ada mapping")
</f>
        <v>Jawa Timur</v>
      </c>
      <c r="I44" s="30">
        <f>IFERROR(__xludf.DUMMYFUNCTION("IF(REGEXMATCH(F44,""Cari Kerja""),1,0)"),0.0)</f>
        <v>0</v>
      </c>
    </row>
    <row r="45">
      <c r="A45" s="11">
        <v>44.0</v>
      </c>
      <c r="B45" s="30" t="s">
        <v>249</v>
      </c>
      <c r="C45" s="30" t="s">
        <v>49</v>
      </c>
      <c r="D45" s="30" t="s">
        <v>250</v>
      </c>
      <c r="E45" s="30" t="s">
        <v>51</v>
      </c>
      <c r="F45" s="30" t="s">
        <v>52</v>
      </c>
      <c r="G45" s="30" t="s">
        <v>24</v>
      </c>
      <c r="H45" s="30" t="str">
        <f>IFERROR(VLOOKUP(TRIM(IF(ISNUMBER(FIND(",", B45)),LEFT(B45,FIND(",",B45)-1),B45)),master!A:B,2,FALSE),"Belum ada mapping")
</f>
        <v>Jambi</v>
      </c>
      <c r="I45" s="30">
        <f>IFERROR(__xludf.DUMMYFUNCTION("IF(REGEXMATCH(F45,""Cari Kerja""),1,0)"),0.0)</f>
        <v>0</v>
      </c>
    </row>
    <row r="46">
      <c r="A46" s="11">
        <v>45.0</v>
      </c>
      <c r="B46" s="30" t="s">
        <v>92</v>
      </c>
      <c r="C46" s="30" t="s">
        <v>20</v>
      </c>
      <c r="D46" s="30" t="s">
        <v>254</v>
      </c>
      <c r="E46" s="30" t="s">
        <v>51</v>
      </c>
      <c r="F46" s="30" t="s">
        <v>23</v>
      </c>
      <c r="G46" s="30" t="s">
        <v>24</v>
      </c>
      <c r="H46" s="30" t="str">
        <f>IFERROR(VLOOKUP(TRIM(IF(ISNUMBER(FIND(",", B46)),LEFT(B46,FIND(",",B46)-1),B46)),master!A:B,2,FALSE),"Belum ada mapping")
</f>
        <v>Jawa Barat</v>
      </c>
      <c r="I46" s="30">
        <f>IFERROR(__xludf.DUMMYFUNCTION("IF(REGEXMATCH(F46,""Cari Kerja""),1,0)"),1.0)</f>
        <v>1</v>
      </c>
    </row>
    <row r="47">
      <c r="A47" s="11">
        <v>46.0</v>
      </c>
      <c r="B47" s="30" t="s">
        <v>118</v>
      </c>
      <c r="C47" s="30" t="s">
        <v>49</v>
      </c>
      <c r="D47" s="30" t="s">
        <v>258</v>
      </c>
      <c r="E47" s="30" t="s">
        <v>259</v>
      </c>
      <c r="F47" s="30" t="s">
        <v>52</v>
      </c>
      <c r="G47" s="30" t="s">
        <v>38</v>
      </c>
      <c r="H47" s="30" t="str">
        <f>IFERROR(VLOOKUP(TRIM(IF(ISNUMBER(FIND(",", B47)),LEFT(B47,FIND(",",B47)-1),B47)),master!A:B,2,FALSE),"Belum ada mapping")
</f>
        <v>Jawa Timur</v>
      </c>
      <c r="I47" s="30">
        <f>IFERROR(__xludf.DUMMYFUNCTION("IF(REGEXMATCH(F47,""Cari Kerja""),1,0)"),0.0)</f>
        <v>0</v>
      </c>
    </row>
    <row r="48">
      <c r="A48" s="11">
        <v>47.0</v>
      </c>
      <c r="B48" s="30" t="s">
        <v>185</v>
      </c>
      <c r="C48" s="30" t="s">
        <v>20</v>
      </c>
      <c r="D48" s="30" t="s">
        <v>69</v>
      </c>
      <c r="E48" s="30" t="s">
        <v>51</v>
      </c>
      <c r="F48" s="30" t="s">
        <v>31</v>
      </c>
      <c r="G48" s="30" t="s">
        <v>24</v>
      </c>
      <c r="H48" s="30" t="str">
        <f>IFERROR(VLOOKUP(TRIM(IF(ISNUMBER(FIND(",", B48)),LEFT(B48,FIND(",",B48)-1),B48)),master!A:B,2,FALSE),"Belum ada mapping")
</f>
        <v>Jakarta</v>
      </c>
      <c r="I48" s="30">
        <f>IFERROR(__xludf.DUMMYFUNCTION("IF(REGEXMATCH(F48,""Cari Kerja""),1,0)"),1.0)</f>
        <v>1</v>
      </c>
    </row>
    <row r="49">
      <c r="A49" s="11">
        <v>48.0</v>
      </c>
      <c r="B49" s="30" t="s">
        <v>266</v>
      </c>
      <c r="C49" s="30" t="s">
        <v>20</v>
      </c>
      <c r="D49" s="30" t="s">
        <v>267</v>
      </c>
      <c r="E49" s="30" t="s">
        <v>268</v>
      </c>
      <c r="F49" s="30" t="s">
        <v>23</v>
      </c>
      <c r="G49" s="30" t="s">
        <v>24</v>
      </c>
      <c r="H49" s="30" t="str">
        <f>IFERROR(VLOOKUP(TRIM(IF(ISNUMBER(FIND(",", B49)),LEFT(B49,FIND(",",B49)-1),B49)),master!A:B,2,FALSE),"Belum ada mapping")
</f>
        <v>Jawa Tengah</v>
      </c>
      <c r="I49" s="30">
        <f>IFERROR(__xludf.DUMMYFUNCTION("IF(REGEXMATCH(F49,""Cari Kerja""),1,0)"),1.0)</f>
        <v>1</v>
      </c>
    </row>
    <row r="50">
      <c r="A50" s="11">
        <v>49.0</v>
      </c>
      <c r="B50" s="30" t="s">
        <v>174</v>
      </c>
      <c r="C50" s="30" t="s">
        <v>20</v>
      </c>
      <c r="D50" s="30" t="s">
        <v>272</v>
      </c>
      <c r="E50" s="30" t="s">
        <v>203</v>
      </c>
      <c r="F50" s="30" t="s">
        <v>14</v>
      </c>
      <c r="G50" s="30" t="s">
        <v>24</v>
      </c>
      <c r="H50" s="30" t="str">
        <f>IFERROR(VLOOKUP(TRIM(IF(ISNUMBER(FIND(",", B50)),LEFT(B50,FIND(",",B50)-1),B50)),master!A:B,2,FALSE),"Belum ada mapping")
</f>
        <v>Jawa Timur</v>
      </c>
      <c r="I50" s="30">
        <f>IFERROR(__xludf.DUMMYFUNCTION("IF(REGEXMATCH(F50,""Cari Kerja""),1,0)"),0.0)</f>
        <v>0</v>
      </c>
    </row>
    <row r="51">
      <c r="A51" s="11">
        <v>50.0</v>
      </c>
      <c r="B51" s="30" t="s">
        <v>276</v>
      </c>
      <c r="C51" s="30" t="s">
        <v>20</v>
      </c>
      <c r="D51" s="30" t="s">
        <v>277</v>
      </c>
      <c r="E51" s="30" t="s">
        <v>278</v>
      </c>
      <c r="F51" s="30" t="s">
        <v>59</v>
      </c>
      <c r="G51" s="30" t="s">
        <v>38</v>
      </c>
      <c r="H51" s="30" t="str">
        <f>IFERROR(VLOOKUP(TRIM(IF(ISNUMBER(FIND(",", B51)),LEFT(B51,FIND(",",B51)-1),B51)),master!A:B,2,FALSE),"Belum ada mapping")
</f>
        <v>Jawa Timur</v>
      </c>
      <c r="I51" s="30">
        <f>IFERROR(__xludf.DUMMYFUNCTION("IF(REGEXMATCH(F51,""Cari Kerja""),1,0)"),0.0)</f>
        <v>0</v>
      </c>
    </row>
    <row r="52">
      <c r="A52" s="11">
        <v>51.0</v>
      </c>
      <c r="B52" s="30" t="s">
        <v>56</v>
      </c>
      <c r="C52" s="30" t="s">
        <v>20</v>
      </c>
      <c r="D52" s="30" t="s">
        <v>282</v>
      </c>
      <c r="E52" s="30" t="s">
        <v>51</v>
      </c>
      <c r="F52" s="30" t="s">
        <v>130</v>
      </c>
      <c r="G52" s="30" t="s">
        <v>24</v>
      </c>
      <c r="H52" s="30" t="str">
        <f>IFERROR(VLOOKUP(TRIM(IF(ISNUMBER(FIND(",", B52)),LEFT(B52,FIND(",",B52)-1),B52)),master!A:B,2,FALSE),"Belum ada mapping")
</f>
        <v>Banten</v>
      </c>
      <c r="I52" s="30">
        <f>IFERROR(__xludf.DUMMYFUNCTION("IF(REGEXMATCH(F52,""Cari Kerja""),1,0)"),1.0)</f>
        <v>1</v>
      </c>
    </row>
    <row r="53">
      <c r="A53" s="11">
        <v>52.0</v>
      </c>
      <c r="B53" s="30" t="s">
        <v>74</v>
      </c>
      <c r="C53" s="30" t="s">
        <v>20</v>
      </c>
      <c r="D53" s="30" t="s">
        <v>286</v>
      </c>
      <c r="E53" s="30" t="s">
        <v>287</v>
      </c>
      <c r="F53" s="30" t="s">
        <v>23</v>
      </c>
      <c r="G53" s="30" t="s">
        <v>24</v>
      </c>
      <c r="H53" s="30" t="str">
        <f>IFERROR(VLOOKUP(TRIM(IF(ISNUMBER(FIND(",", B53)),LEFT(B53,FIND(",",B53)-1),B53)),master!A:B,2,FALSE),"Belum ada mapping")
</f>
        <v>Banten</v>
      </c>
      <c r="I53" s="30">
        <f>IFERROR(__xludf.DUMMYFUNCTION("IF(REGEXMATCH(F53,""Cari Kerja""),1,0)"),1.0)</f>
        <v>1</v>
      </c>
    </row>
    <row r="54">
      <c r="A54" s="11">
        <v>53.0</v>
      </c>
      <c r="B54" s="30" t="s">
        <v>74</v>
      </c>
      <c r="C54" s="30" t="s">
        <v>49</v>
      </c>
      <c r="D54" s="30" t="s">
        <v>291</v>
      </c>
      <c r="E54" s="30" t="s">
        <v>51</v>
      </c>
      <c r="F54" s="30" t="s">
        <v>23</v>
      </c>
      <c r="G54" s="30" t="s">
        <v>24</v>
      </c>
      <c r="H54" s="30" t="str">
        <f>IFERROR(VLOOKUP(TRIM(IF(ISNUMBER(FIND(",", B54)),LEFT(B54,FIND(",",B54)-1),B54)),master!A:B,2,FALSE),"Belum ada mapping")
</f>
        <v>Banten</v>
      </c>
      <c r="I54" s="30">
        <f>IFERROR(__xludf.DUMMYFUNCTION("IF(REGEXMATCH(F54,""Cari Kerja""),1,0)"),1.0)</f>
        <v>1</v>
      </c>
    </row>
    <row r="55">
      <c r="A55" s="11">
        <v>54.0</v>
      </c>
      <c r="B55" s="30" t="s">
        <v>207</v>
      </c>
      <c r="C55" s="30" t="s">
        <v>20</v>
      </c>
      <c r="D55" s="30" t="s">
        <v>69</v>
      </c>
      <c r="E55" s="30" t="s">
        <v>295</v>
      </c>
      <c r="F55" s="30" t="s">
        <v>52</v>
      </c>
      <c r="G55" s="30" t="s">
        <v>24</v>
      </c>
      <c r="H55" s="30" t="str">
        <f>IFERROR(VLOOKUP(TRIM(IF(ISNUMBER(FIND(",", B55)),LEFT(B55,FIND(",",B55)-1),B55)),master!A:B,2,FALSE),"Belum ada mapping")
</f>
        <v>Jakarta</v>
      </c>
      <c r="I55" s="30">
        <f>IFERROR(__xludf.DUMMYFUNCTION("IF(REGEXMATCH(F55,""Cari Kerja""),1,0)"),0.0)</f>
        <v>0</v>
      </c>
    </row>
    <row r="56">
      <c r="A56" s="11">
        <v>55.0</v>
      </c>
      <c r="B56" s="30" t="s">
        <v>299</v>
      </c>
      <c r="C56" s="30" t="s">
        <v>49</v>
      </c>
      <c r="D56" s="30" t="s">
        <v>300</v>
      </c>
      <c r="E56" s="30" t="s">
        <v>301</v>
      </c>
      <c r="F56" s="30" t="s">
        <v>52</v>
      </c>
      <c r="G56" s="30" t="s">
        <v>24</v>
      </c>
      <c r="H56" s="30" t="str">
        <f>IFERROR(VLOOKUP(TRIM(IF(ISNUMBER(FIND(",", B56)),LEFT(B56,FIND(",",B56)-1),B56)),master!A:B,2,FALSE),"Belum ada mapping")
</f>
        <v>Kalimatan Tengah</v>
      </c>
      <c r="I56" s="30">
        <f>IFERROR(__xludf.DUMMYFUNCTION("IF(REGEXMATCH(F56,""Cari Kerja""),1,0)"),0.0)</f>
        <v>0</v>
      </c>
    </row>
    <row r="57">
      <c r="A57" s="11">
        <v>56.0</v>
      </c>
      <c r="B57" s="30" t="s">
        <v>19</v>
      </c>
      <c r="C57" s="30" t="s">
        <v>20</v>
      </c>
      <c r="D57" s="30" t="s">
        <v>21</v>
      </c>
      <c r="E57" s="30" t="s">
        <v>305</v>
      </c>
      <c r="F57" s="30" t="s">
        <v>12</v>
      </c>
      <c r="G57" s="30" t="s">
        <v>38</v>
      </c>
      <c r="H57" s="30" t="str">
        <f>IFERROR(VLOOKUP(TRIM(IF(ISNUMBER(FIND(",", B57)),LEFT(B57,FIND(",",B57)-1),B57)),master!A:B,2,FALSE),"Belum ada mapping")
</f>
        <v>Jawa Tengah</v>
      </c>
      <c r="I57" s="30">
        <f>IFERROR(__xludf.DUMMYFUNCTION("IF(REGEXMATCH(F57,""Cari Kerja""),1,0)"),1.0)</f>
        <v>1</v>
      </c>
    </row>
    <row r="58">
      <c r="A58" s="11">
        <v>57.0</v>
      </c>
      <c r="B58" s="30" t="s">
        <v>309</v>
      </c>
      <c r="C58" s="30" t="s">
        <v>20</v>
      </c>
      <c r="D58" s="30" t="s">
        <v>310</v>
      </c>
      <c r="E58" s="30" t="s">
        <v>198</v>
      </c>
      <c r="F58" s="30" t="s">
        <v>23</v>
      </c>
      <c r="G58" s="30" t="s">
        <v>24</v>
      </c>
      <c r="H58" s="30" t="str">
        <f>IFERROR(VLOOKUP(TRIM(IF(ISNUMBER(FIND(",", B58)),LEFT(B58,FIND(",",B58)-1),B58)),master!A:B,2,FALSE),"Belum ada mapping")
</f>
        <v>Jawa Timur</v>
      </c>
      <c r="I58" s="30">
        <f>IFERROR(__xludf.DUMMYFUNCTION("IF(REGEXMATCH(F58,""Cari Kerja""),1,0)"),1.0)</f>
        <v>1</v>
      </c>
    </row>
    <row r="59">
      <c r="A59" s="11">
        <v>58.0</v>
      </c>
      <c r="B59" s="30" t="s">
        <v>207</v>
      </c>
      <c r="C59" s="30" t="s">
        <v>49</v>
      </c>
      <c r="D59" s="30" t="s">
        <v>314</v>
      </c>
      <c r="E59" s="30" t="s">
        <v>315</v>
      </c>
      <c r="F59" s="30" t="s">
        <v>13</v>
      </c>
      <c r="G59" s="30" t="s">
        <v>24</v>
      </c>
      <c r="H59" s="30" t="str">
        <f>IFERROR(VLOOKUP(TRIM(IF(ISNUMBER(FIND(",", B59)),LEFT(B59,FIND(",",B59)-1),B59)),master!A:B,2,FALSE),"Belum ada mapping")
</f>
        <v>Jakarta</v>
      </c>
      <c r="I59" s="30">
        <f>IFERROR(__xludf.DUMMYFUNCTION("IF(REGEXMATCH(F59,""Cari Kerja""),1,0)"),0.0)</f>
        <v>0</v>
      </c>
    </row>
    <row r="60">
      <c r="A60" s="11">
        <v>59.0</v>
      </c>
      <c r="B60" s="30" t="s">
        <v>92</v>
      </c>
      <c r="C60" s="30" t="s">
        <v>49</v>
      </c>
      <c r="D60" s="30" t="s">
        <v>319</v>
      </c>
      <c r="E60" s="30" t="s">
        <v>320</v>
      </c>
      <c r="F60" s="30" t="s">
        <v>23</v>
      </c>
      <c r="G60" s="30" t="s">
        <v>24</v>
      </c>
      <c r="H60" s="30" t="str">
        <f>IFERROR(VLOOKUP(TRIM(IF(ISNUMBER(FIND(",", B60)),LEFT(B60,FIND(",",B60)-1),B60)),master!A:B,2,FALSE),"Belum ada mapping")
</f>
        <v>Jawa Barat</v>
      </c>
      <c r="I60" s="30">
        <f>IFERROR(__xludf.DUMMYFUNCTION("IF(REGEXMATCH(F60,""Cari Kerja""),1,0)"),1.0)</f>
        <v>1</v>
      </c>
    </row>
    <row r="61">
      <c r="A61" s="11">
        <v>60.0</v>
      </c>
      <c r="B61" s="30" t="s">
        <v>207</v>
      </c>
      <c r="C61" s="30" t="s">
        <v>49</v>
      </c>
      <c r="D61" s="30" t="s">
        <v>324</v>
      </c>
      <c r="E61" s="30" t="s">
        <v>325</v>
      </c>
      <c r="F61" s="30" t="s">
        <v>59</v>
      </c>
      <c r="G61" s="30" t="s">
        <v>24</v>
      </c>
      <c r="H61" s="30" t="str">
        <f>IFERROR(VLOOKUP(TRIM(IF(ISNUMBER(FIND(",", B61)),LEFT(B61,FIND(",",B61)-1),B61)),master!A:B,2,FALSE),"Belum ada mapping")
</f>
        <v>Jakarta</v>
      </c>
      <c r="I61" s="30">
        <f>IFERROR(__xludf.DUMMYFUNCTION("IF(REGEXMATCH(F61,""Cari Kerja""),1,0)"),0.0)</f>
        <v>0</v>
      </c>
    </row>
    <row r="62">
      <c r="A62" s="11">
        <v>61.0</v>
      </c>
      <c r="B62" s="30" t="s">
        <v>327</v>
      </c>
      <c r="C62" s="30" t="s">
        <v>49</v>
      </c>
      <c r="D62" s="30" t="s">
        <v>328</v>
      </c>
      <c r="E62" s="30" t="s">
        <v>329</v>
      </c>
      <c r="F62" s="30" t="s">
        <v>14</v>
      </c>
      <c r="G62" s="30" t="s">
        <v>24</v>
      </c>
      <c r="H62" s="30" t="str">
        <f>IFERROR(VLOOKUP(TRIM(IF(ISNUMBER(FIND(",", B62)),LEFT(B62,FIND(",",B62)-1),B62)),master!A:B,2,FALSE),"Belum ada mapping")
</f>
        <v>Jakarta</v>
      </c>
      <c r="I62" s="30">
        <f>IFERROR(__xludf.DUMMYFUNCTION("IF(REGEXMATCH(F62,""Cari Kerja""),1,0)"),0.0)</f>
        <v>0</v>
      </c>
    </row>
    <row r="63">
      <c r="A63" s="11">
        <v>62.0</v>
      </c>
      <c r="B63" s="30" t="s">
        <v>333</v>
      </c>
      <c r="C63" s="30" t="s">
        <v>49</v>
      </c>
      <c r="D63" s="30" t="s">
        <v>334</v>
      </c>
      <c r="E63" s="30" t="s">
        <v>335</v>
      </c>
      <c r="F63" s="30" t="s">
        <v>13</v>
      </c>
      <c r="G63" s="30" t="s">
        <v>24</v>
      </c>
      <c r="H63" s="30" t="str">
        <f>IFERROR(VLOOKUP(TRIM(IF(ISNUMBER(FIND(",", B63)),LEFT(B63,FIND(",",B63)-1),B63)),master!A:B,2,FALSE),"Belum ada mapping")
</f>
        <v>Jawa Timur</v>
      </c>
      <c r="I63" s="30">
        <f>IFERROR(__xludf.DUMMYFUNCTION("IF(REGEXMATCH(F63,""Cari Kerja""),1,0)"),0.0)</f>
        <v>0</v>
      </c>
    </row>
    <row r="64">
      <c r="A64" s="11">
        <v>63.0</v>
      </c>
      <c r="B64" s="30" t="s">
        <v>207</v>
      </c>
      <c r="C64" s="30" t="s">
        <v>49</v>
      </c>
      <c r="D64" s="30" t="s">
        <v>339</v>
      </c>
      <c r="E64" s="30" t="s">
        <v>340</v>
      </c>
      <c r="F64" s="30" t="s">
        <v>59</v>
      </c>
      <c r="G64" s="30" t="s">
        <v>24</v>
      </c>
      <c r="H64" s="30" t="str">
        <f>IFERROR(VLOOKUP(TRIM(IF(ISNUMBER(FIND(",", B64)),LEFT(B64,FIND(",",B64)-1),B64)),master!A:B,2,FALSE),"Belum ada mapping")
</f>
        <v>Jakarta</v>
      </c>
      <c r="I64" s="30">
        <f>IFERROR(__xludf.DUMMYFUNCTION("IF(REGEXMATCH(F64,""Cari Kerja""),1,0)"),0.0)</f>
        <v>0</v>
      </c>
    </row>
    <row r="65">
      <c r="A65" s="11">
        <v>64.0</v>
      </c>
      <c r="B65" s="30" t="s">
        <v>344</v>
      </c>
      <c r="C65" s="30" t="s">
        <v>20</v>
      </c>
      <c r="D65" s="30" t="s">
        <v>345</v>
      </c>
      <c r="E65" s="30" t="s">
        <v>346</v>
      </c>
      <c r="F65" s="30" t="s">
        <v>31</v>
      </c>
      <c r="G65" s="30" t="s">
        <v>38</v>
      </c>
      <c r="H65" s="30" t="str">
        <f>IFERROR(VLOOKUP(TRIM(IF(ISNUMBER(FIND(",", B65)),LEFT(B65,FIND(",",B65)-1),B65)),master!A:B,2,FALSE),"Belum ada mapping")
</f>
        <v>Jawa Timur</v>
      </c>
      <c r="I65" s="30">
        <f>IFERROR(__xludf.DUMMYFUNCTION("IF(REGEXMATCH(F65,""Cari Kerja""),1,0)"),1.0)</f>
        <v>1</v>
      </c>
    </row>
    <row r="66">
      <c r="A66" s="11">
        <v>65.0</v>
      </c>
      <c r="B66" s="30" t="s">
        <v>74</v>
      </c>
      <c r="C66" s="30" t="s">
        <v>20</v>
      </c>
      <c r="D66" s="30" t="s">
        <v>350</v>
      </c>
      <c r="E66" s="30" t="s">
        <v>351</v>
      </c>
      <c r="F66" s="30" t="s">
        <v>31</v>
      </c>
      <c r="G66" s="30" t="s">
        <v>24</v>
      </c>
      <c r="H66" s="30" t="str">
        <f>IFERROR(VLOOKUP(TRIM(IF(ISNUMBER(FIND(",", B66)),LEFT(B66,FIND(",",B66)-1),B66)),master!A:B,2,FALSE),"Belum ada mapping")
</f>
        <v>Banten</v>
      </c>
      <c r="I66" s="30">
        <f>IFERROR(__xludf.DUMMYFUNCTION("IF(REGEXMATCH(F66,""Cari Kerja""),1,0)"),1.0)</f>
        <v>1</v>
      </c>
    </row>
    <row r="67">
      <c r="A67" s="11">
        <v>66.0</v>
      </c>
      <c r="B67" s="30" t="s">
        <v>355</v>
      </c>
      <c r="C67" s="30" t="s">
        <v>20</v>
      </c>
      <c r="D67" s="30" t="s">
        <v>356</v>
      </c>
      <c r="E67" s="30" t="s">
        <v>225</v>
      </c>
      <c r="F67" s="30" t="s">
        <v>23</v>
      </c>
      <c r="G67" s="30" t="s">
        <v>24</v>
      </c>
      <c r="H67" s="30" t="str">
        <f>IFERROR(VLOOKUP(TRIM(IF(ISNUMBER(FIND(",", B67)),LEFT(B67,FIND(",",B67)-1),B67)),master!A:B,2,FALSE),"Belum ada mapping")
</f>
        <v>Jawa Timur</v>
      </c>
      <c r="I67" s="30">
        <f>IFERROR(__xludf.DUMMYFUNCTION("IF(REGEXMATCH(F67,""Cari Kerja""),1,0)"),1.0)</f>
        <v>1</v>
      </c>
    </row>
    <row r="68">
      <c r="A68" s="11">
        <v>67.0</v>
      </c>
      <c r="B68" s="30" t="s">
        <v>35</v>
      </c>
      <c r="C68" s="30" t="s">
        <v>20</v>
      </c>
      <c r="D68" s="30" t="s">
        <v>360</v>
      </c>
      <c r="E68" s="30" t="s">
        <v>51</v>
      </c>
      <c r="F68" s="30" t="s">
        <v>23</v>
      </c>
      <c r="G68" s="30" t="s">
        <v>24</v>
      </c>
      <c r="H68" s="30" t="str">
        <f>IFERROR(VLOOKUP(TRIM(IF(ISNUMBER(FIND(",", B68)),LEFT(B68,FIND(",",B68)-1),B68)),master!A:B,2,FALSE),"Belum ada mapping")
</f>
        <v>Jawa Timur</v>
      </c>
      <c r="I68" s="30">
        <f>IFERROR(__xludf.DUMMYFUNCTION("IF(REGEXMATCH(F68,""Cari Kerja""),1,0)"),1.0)</f>
        <v>1</v>
      </c>
    </row>
    <row r="69">
      <c r="A69" s="11">
        <v>68.0</v>
      </c>
      <c r="B69" s="30" t="s">
        <v>364</v>
      </c>
      <c r="C69" s="30" t="s">
        <v>49</v>
      </c>
      <c r="D69" s="30" t="s">
        <v>365</v>
      </c>
      <c r="E69" s="30" t="s">
        <v>187</v>
      </c>
      <c r="F69" s="30" t="s">
        <v>59</v>
      </c>
      <c r="G69" s="30" t="s">
        <v>24</v>
      </c>
      <c r="H69" s="30" t="str">
        <f>IFERROR(VLOOKUP(TRIM(IF(ISNUMBER(FIND(",", B69)),LEFT(B69,FIND(",",B69)-1),B69)),master!A:B,2,FALSE),"Belum ada mapping")
</f>
        <v>Jakarta</v>
      </c>
      <c r="I69" s="30">
        <f>IFERROR(__xludf.DUMMYFUNCTION("IF(REGEXMATCH(F69,""Cari Kerja""),1,0)"),0.0)</f>
        <v>0</v>
      </c>
    </row>
    <row r="70">
      <c r="A70" s="11">
        <v>69.0</v>
      </c>
      <c r="B70" s="30" t="s">
        <v>42</v>
      </c>
      <c r="C70" s="30" t="s">
        <v>49</v>
      </c>
      <c r="D70" s="30" t="s">
        <v>369</v>
      </c>
      <c r="E70" s="30" t="s">
        <v>370</v>
      </c>
      <c r="F70" s="30" t="s">
        <v>59</v>
      </c>
      <c r="G70" s="30" t="s">
        <v>24</v>
      </c>
      <c r="H70" s="30" t="str">
        <f>IFERROR(VLOOKUP(TRIM(IF(ISNUMBER(FIND(",", B70)),LEFT(B70,FIND(",",B70)-1),B70)),master!A:B,2,FALSE),"Belum ada mapping")
</f>
        <v>Jawa Barat</v>
      </c>
      <c r="I70" s="30">
        <f>IFERROR(__xludf.DUMMYFUNCTION("IF(REGEXMATCH(F70,""Cari Kerja""),1,0)"),0.0)</f>
        <v>0</v>
      </c>
    </row>
    <row r="71">
      <c r="A71" s="11">
        <v>70.0</v>
      </c>
      <c r="B71" s="30" t="s">
        <v>207</v>
      </c>
      <c r="C71" s="30" t="s">
        <v>20</v>
      </c>
      <c r="D71" s="30" t="s">
        <v>21</v>
      </c>
      <c r="E71" s="30" t="s">
        <v>346</v>
      </c>
      <c r="F71" s="30" t="s">
        <v>59</v>
      </c>
      <c r="G71" s="30" t="s">
        <v>24</v>
      </c>
      <c r="H71" s="30" t="str">
        <f>IFERROR(VLOOKUP(TRIM(IF(ISNUMBER(FIND(",", B71)),LEFT(B71,FIND(",",B71)-1),B71)),master!A:B,2,FALSE),"Belum ada mapping")
</f>
        <v>Jakarta</v>
      </c>
      <c r="I71" s="30">
        <f>IFERROR(__xludf.DUMMYFUNCTION("IF(REGEXMATCH(F71,""Cari Kerja""),1,0)"),0.0)</f>
        <v>0</v>
      </c>
    </row>
    <row r="72">
      <c r="A72" s="11">
        <v>71.0</v>
      </c>
      <c r="B72" s="30" t="s">
        <v>92</v>
      </c>
      <c r="C72" s="30" t="s">
        <v>49</v>
      </c>
      <c r="D72" s="30" t="s">
        <v>377</v>
      </c>
      <c r="E72" s="30" t="s">
        <v>37</v>
      </c>
      <c r="F72" s="30" t="s">
        <v>31</v>
      </c>
      <c r="G72" s="30" t="s">
        <v>24</v>
      </c>
      <c r="H72" s="30" t="str">
        <f>IFERROR(VLOOKUP(TRIM(IF(ISNUMBER(FIND(",", B72)),LEFT(B72,FIND(",",B72)-1),B72)),master!A:B,2,FALSE),"Belum ada mapping")
</f>
        <v>Jawa Barat</v>
      </c>
      <c r="I72" s="30">
        <f>IFERROR(__xludf.DUMMYFUNCTION("IF(REGEXMATCH(F72,""Cari Kerja""),1,0)"),1.0)</f>
        <v>1</v>
      </c>
    </row>
    <row r="73">
      <c r="A73" s="11">
        <v>72.0</v>
      </c>
      <c r="B73" s="30" t="s">
        <v>381</v>
      </c>
      <c r="C73" s="30" t="s">
        <v>20</v>
      </c>
      <c r="D73" s="30" t="s">
        <v>69</v>
      </c>
      <c r="E73" s="30" t="s">
        <v>187</v>
      </c>
      <c r="F73" s="30" t="s">
        <v>59</v>
      </c>
      <c r="G73" s="30" t="s">
        <v>38</v>
      </c>
      <c r="H73" s="30" t="str">
        <f>IFERROR(VLOOKUP(TRIM(IF(ISNUMBER(FIND(",", B73)),LEFT(B73,FIND(",",B73)-1),B73)),master!A:B,2,FALSE),"Belum ada mapping")
</f>
        <v>Kalimantan Tengah </v>
      </c>
      <c r="I73" s="30">
        <f>IFERROR(__xludf.DUMMYFUNCTION("IF(REGEXMATCH(F73,""Cari Kerja""),1,0)"),0.0)</f>
        <v>0</v>
      </c>
    </row>
    <row r="74">
      <c r="A74" s="11">
        <v>73.0</v>
      </c>
      <c r="B74" s="30" t="s">
        <v>385</v>
      </c>
      <c r="C74" s="30" t="s">
        <v>49</v>
      </c>
      <c r="D74" s="30">
        <v>0.0</v>
      </c>
      <c r="E74" s="30" t="s">
        <v>351</v>
      </c>
      <c r="F74" s="30" t="s">
        <v>23</v>
      </c>
      <c r="G74" s="30" t="s">
        <v>24</v>
      </c>
      <c r="H74" s="30" t="str">
        <f>IFERROR(VLOOKUP(TRIM(IF(ISNUMBER(FIND(",", B74)),LEFT(B74,FIND(",",B74)-1),B74)),master!A:B,2,FALSE),"Belum ada mapping")
</f>
        <v>Kalimantan Timur</v>
      </c>
      <c r="I74" s="30">
        <f>IFERROR(__xludf.DUMMYFUNCTION("IF(REGEXMATCH(F74,""Cari Kerja""),1,0)"),1.0)</f>
        <v>1</v>
      </c>
    </row>
    <row r="75">
      <c r="A75" s="11">
        <v>74.0</v>
      </c>
      <c r="B75" s="30" t="s">
        <v>389</v>
      </c>
      <c r="C75" s="30" t="s">
        <v>49</v>
      </c>
      <c r="D75" s="30" t="s">
        <v>390</v>
      </c>
      <c r="E75" s="30" t="s">
        <v>391</v>
      </c>
      <c r="F75" s="30" t="s">
        <v>59</v>
      </c>
      <c r="G75" s="30" t="s">
        <v>24</v>
      </c>
      <c r="H75" s="30" t="str">
        <f>IFERROR(VLOOKUP(TRIM(IF(ISNUMBER(FIND(",", B75)),LEFT(B75,FIND(",",B75)-1),B75)),master!A:B,2,FALSE),"Belum ada mapping")
</f>
        <v>Kalimantan Selatan</v>
      </c>
      <c r="I75" s="30">
        <f>IFERROR(__xludf.DUMMYFUNCTION("IF(REGEXMATCH(F75,""Cari Kerja""),1,0)"),0.0)</f>
        <v>0</v>
      </c>
    </row>
    <row r="76">
      <c r="A76" s="11">
        <v>75.0</v>
      </c>
      <c r="B76" s="30" t="s">
        <v>113</v>
      </c>
      <c r="C76" s="30" t="s">
        <v>49</v>
      </c>
      <c r="D76" s="30" t="s">
        <v>395</v>
      </c>
      <c r="E76" s="30" t="s">
        <v>396</v>
      </c>
      <c r="F76" s="30" t="s">
        <v>13</v>
      </c>
      <c r="G76" s="30" t="s">
        <v>24</v>
      </c>
      <c r="H76" s="30" t="str">
        <f>IFERROR(VLOOKUP(TRIM(IF(ISNUMBER(FIND(",", B76)),LEFT(B76,FIND(",",B76)-1),B76)),master!A:B,2,FALSE),"Belum ada mapping")
</f>
        <v>Sumatera Utara</v>
      </c>
      <c r="I76" s="30">
        <f>IFERROR(__xludf.DUMMYFUNCTION("IF(REGEXMATCH(F76,""Cari Kerja""),1,0)"),0.0)</f>
        <v>0</v>
      </c>
    </row>
    <row r="77">
      <c r="A77" s="11">
        <v>76.0</v>
      </c>
      <c r="B77" s="30" t="s">
        <v>400</v>
      </c>
      <c r="C77" s="30" t="s">
        <v>20</v>
      </c>
      <c r="D77" s="30" t="s">
        <v>69</v>
      </c>
      <c r="E77" s="30" t="s">
        <v>51</v>
      </c>
      <c r="F77" s="30" t="s">
        <v>23</v>
      </c>
      <c r="G77" s="30" t="s">
        <v>76</v>
      </c>
      <c r="H77" s="30" t="str">
        <f>IFERROR(VLOOKUP(TRIM(IF(ISNUMBER(FIND(",", B77)),LEFT(B77,FIND(",",B77)-1),B77)),master!A:B,2,FALSE),"Belum ada mapping")
</f>
        <v>Jakarta</v>
      </c>
      <c r="I77" s="30">
        <f>IFERROR(__xludf.DUMMYFUNCTION("IF(REGEXMATCH(F77,""Cari Kerja""),1,0)"),1.0)</f>
        <v>1</v>
      </c>
    </row>
    <row r="78">
      <c r="A78" s="11">
        <v>77.0</v>
      </c>
      <c r="B78" s="30" t="s">
        <v>404</v>
      </c>
      <c r="C78" s="30" t="s">
        <v>49</v>
      </c>
      <c r="D78" s="30" t="s">
        <v>405</v>
      </c>
      <c r="E78" s="30" t="s">
        <v>93</v>
      </c>
      <c r="F78" s="30" t="s">
        <v>12</v>
      </c>
      <c r="G78" s="30" t="s">
        <v>38</v>
      </c>
      <c r="H78" s="30" t="str">
        <f>IFERROR(VLOOKUP(TRIM(IF(ISNUMBER(FIND(",", B78)),LEFT(B78,FIND(",",B78)-1),B78)),master!A:B,2,FALSE),"Belum ada mapping")
</f>
        <v>Sulawesi Selatan</v>
      </c>
      <c r="I78" s="30">
        <f>IFERROR(__xludf.DUMMYFUNCTION("IF(REGEXMATCH(F78,""Cari Kerja""),1,0)"),1.0)</f>
        <v>1</v>
      </c>
    </row>
    <row r="79">
      <c r="A79" s="11">
        <v>78.0</v>
      </c>
      <c r="B79" s="30" t="s">
        <v>409</v>
      </c>
      <c r="C79" s="30" t="s">
        <v>20</v>
      </c>
      <c r="D79" s="30" t="s">
        <v>410</v>
      </c>
      <c r="E79" s="30" t="s">
        <v>51</v>
      </c>
      <c r="F79" s="30" t="s">
        <v>23</v>
      </c>
      <c r="G79" s="30" t="s">
        <v>24</v>
      </c>
      <c r="H79" s="30" t="str">
        <f>IFERROR(VLOOKUP(TRIM(IF(ISNUMBER(FIND(",", B79)),LEFT(B79,FIND(",",B79)-1),B79)),master!A:B,2,FALSE),"Belum ada mapping")
</f>
        <v>Jawa Tengah</v>
      </c>
      <c r="I79" s="30">
        <f>IFERROR(__xludf.DUMMYFUNCTION("IF(REGEXMATCH(F79,""Cari Kerja""),1,0)"),1.0)</f>
        <v>1</v>
      </c>
    </row>
    <row r="80">
      <c r="A80" s="11">
        <v>79.0</v>
      </c>
      <c r="B80" s="30" t="s">
        <v>414</v>
      </c>
      <c r="C80" s="30" t="s">
        <v>20</v>
      </c>
      <c r="D80" s="30" t="s">
        <v>415</v>
      </c>
      <c r="E80" s="30" t="s">
        <v>209</v>
      </c>
      <c r="F80" s="30" t="s">
        <v>23</v>
      </c>
      <c r="G80" s="30" t="s">
        <v>24</v>
      </c>
      <c r="H80" s="30" t="str">
        <f>IFERROR(VLOOKUP(TRIM(IF(ISNUMBER(FIND(",", B80)),LEFT(B80,FIND(",",B80)-1),B80)),master!A:B,2,FALSE),"Belum ada mapping")
</f>
        <v>DI Yogyakarta</v>
      </c>
      <c r="I80" s="30">
        <f>IFERROR(__xludf.DUMMYFUNCTION("IF(REGEXMATCH(F80,""Cari Kerja""),1,0)"),1.0)</f>
        <v>1</v>
      </c>
    </row>
    <row r="81">
      <c r="A81" s="11">
        <v>80.0</v>
      </c>
      <c r="B81" s="30" t="s">
        <v>158</v>
      </c>
      <c r="C81" s="30" t="s">
        <v>49</v>
      </c>
      <c r="D81" s="30" t="s">
        <v>419</v>
      </c>
      <c r="E81" s="30" t="s">
        <v>225</v>
      </c>
      <c r="F81" s="30" t="s">
        <v>23</v>
      </c>
      <c r="G81" s="30" t="s">
        <v>24</v>
      </c>
      <c r="H81" s="30" t="str">
        <f>IFERROR(VLOOKUP(TRIM(IF(ISNUMBER(FIND(",", B81)),LEFT(B81,FIND(",",B81)-1),B81)),master!A:B,2,FALSE),"Belum ada mapping")
</f>
        <v>Jawa Barat</v>
      </c>
      <c r="I81" s="30">
        <f>IFERROR(__xludf.DUMMYFUNCTION("IF(REGEXMATCH(F81,""Cari Kerja""),1,0)"),1.0)</f>
        <v>1</v>
      </c>
    </row>
    <row r="82">
      <c r="A82" s="11">
        <v>81.0</v>
      </c>
      <c r="B82" s="30" t="s">
        <v>423</v>
      </c>
      <c r="C82" s="30" t="s">
        <v>49</v>
      </c>
      <c r="D82" s="30" t="s">
        <v>424</v>
      </c>
      <c r="E82" s="30" t="s">
        <v>51</v>
      </c>
      <c r="F82" s="30" t="s">
        <v>31</v>
      </c>
      <c r="G82" s="30" t="s">
        <v>76</v>
      </c>
      <c r="H82" s="30" t="str">
        <f>IFERROR(VLOOKUP(TRIM(IF(ISNUMBER(FIND(",", B82)),LEFT(B82,FIND(",",B82)-1),B82)),master!A:B,2,FALSE),"Belum ada mapping")
</f>
        <v>Sumatera Selatan</v>
      </c>
      <c r="I82" s="30">
        <f>IFERROR(__xludf.DUMMYFUNCTION("IF(REGEXMATCH(F82,""Cari Kerja""),1,0)"),1.0)</f>
        <v>1</v>
      </c>
    </row>
    <row r="83">
      <c r="A83" s="11">
        <v>82.0</v>
      </c>
      <c r="B83" s="30" t="s">
        <v>428</v>
      </c>
      <c r="C83" s="30" t="s">
        <v>49</v>
      </c>
      <c r="D83" s="30" t="s">
        <v>429</v>
      </c>
      <c r="E83" s="30" t="s">
        <v>430</v>
      </c>
      <c r="F83" s="30" t="s">
        <v>13</v>
      </c>
      <c r="G83" s="30" t="s">
        <v>24</v>
      </c>
      <c r="H83" s="30" t="str">
        <f>IFERROR(VLOOKUP(TRIM(IF(ISNUMBER(FIND(",", B83)),LEFT(B83,FIND(",",B83)-1),B83)),master!A:B,2,FALSE),"Belum ada mapping")
</f>
        <v>Kalimantan Timur</v>
      </c>
      <c r="I83" s="30">
        <f>IFERROR(__xludf.DUMMYFUNCTION("IF(REGEXMATCH(F83,""Cari Kerja""),1,0)"),0.0)</f>
        <v>0</v>
      </c>
    </row>
    <row r="84">
      <c r="A84" s="11">
        <v>83.0</v>
      </c>
      <c r="B84" s="30" t="s">
        <v>174</v>
      </c>
      <c r="C84" s="30" t="s">
        <v>20</v>
      </c>
      <c r="D84" s="30" t="s">
        <v>267</v>
      </c>
      <c r="E84" s="30" t="s">
        <v>37</v>
      </c>
      <c r="F84" s="30" t="s">
        <v>130</v>
      </c>
      <c r="G84" s="30" t="s">
        <v>24</v>
      </c>
      <c r="H84" s="30" t="str">
        <f>IFERROR(VLOOKUP(TRIM(IF(ISNUMBER(FIND(",", B84)),LEFT(B84,FIND(",",B84)-1),B84)),master!A:B,2,FALSE),"Belum ada mapping")
</f>
        <v>Jawa Timur</v>
      </c>
      <c r="I84" s="30">
        <f>IFERROR(__xludf.DUMMYFUNCTION("IF(REGEXMATCH(F84,""Cari Kerja""),1,0)"),1.0)</f>
        <v>1</v>
      </c>
    </row>
    <row r="85">
      <c r="A85" s="11">
        <v>84.0</v>
      </c>
      <c r="B85" s="30" t="s">
        <v>437</v>
      </c>
      <c r="C85" s="30" t="s">
        <v>20</v>
      </c>
      <c r="D85" s="30" t="s">
        <v>438</v>
      </c>
      <c r="E85" s="30" t="s">
        <v>439</v>
      </c>
      <c r="F85" s="30" t="s">
        <v>130</v>
      </c>
      <c r="G85" s="30" t="s">
        <v>24</v>
      </c>
      <c r="H85" s="30" t="str">
        <f>IFERROR(VLOOKUP(TRIM(IF(ISNUMBER(FIND(",", B85)),LEFT(B85,FIND(",",B85)-1),B85)),master!A:B,2,FALSE),"Belum ada mapping")
</f>
        <v>Jakarta</v>
      </c>
      <c r="I85" s="30">
        <f>IFERROR(__xludf.DUMMYFUNCTION("IF(REGEXMATCH(F85,""Cari Kerja""),1,0)"),1.0)</f>
        <v>1</v>
      </c>
    </row>
    <row r="86">
      <c r="A86" s="11">
        <v>85.0</v>
      </c>
      <c r="B86" s="30" t="s">
        <v>443</v>
      </c>
      <c r="C86" s="30" t="s">
        <v>20</v>
      </c>
      <c r="D86" s="30" t="s">
        <v>444</v>
      </c>
      <c r="E86" s="30" t="s">
        <v>93</v>
      </c>
      <c r="F86" s="30" t="s">
        <v>59</v>
      </c>
      <c r="G86" s="30" t="s">
        <v>24</v>
      </c>
      <c r="H86" s="30" t="str">
        <f>IFERROR(VLOOKUP(TRIM(IF(ISNUMBER(FIND(",", B86)),LEFT(B86,FIND(",",B86)-1),B86)),master!A:B,2,FALSE),"Belum ada mapping")
</f>
        <v>Jawa Tengah</v>
      </c>
      <c r="I86" s="30">
        <f>IFERROR(__xludf.DUMMYFUNCTION("IF(REGEXMATCH(F86,""Cari Kerja""),1,0)"),0.0)</f>
        <v>0</v>
      </c>
    </row>
    <row r="87">
      <c r="A87" s="11">
        <v>86.0</v>
      </c>
      <c r="B87" s="30" t="s">
        <v>207</v>
      </c>
      <c r="C87" s="30" t="s">
        <v>49</v>
      </c>
      <c r="D87" s="30" t="s">
        <v>448</v>
      </c>
      <c r="E87" s="30" t="s">
        <v>193</v>
      </c>
      <c r="F87" s="30" t="s">
        <v>15</v>
      </c>
      <c r="G87" s="30" t="s">
        <v>76</v>
      </c>
      <c r="H87" s="30" t="str">
        <f>IFERROR(VLOOKUP(TRIM(IF(ISNUMBER(FIND(",", B87)),LEFT(B87,FIND(",",B87)-1),B87)),master!A:B,2,FALSE),"Belum ada mapping")
</f>
        <v>Jakarta</v>
      </c>
      <c r="I87" s="30">
        <f>IFERROR(__xludf.DUMMYFUNCTION("IF(REGEXMATCH(F87,""Cari Kerja""),1,0)"),0.0)</f>
        <v>0</v>
      </c>
    </row>
    <row r="88">
      <c r="A88" s="11">
        <v>87.0</v>
      </c>
      <c r="B88" s="30" t="s">
        <v>452</v>
      </c>
      <c r="C88" s="30" t="s">
        <v>49</v>
      </c>
      <c r="D88" s="30" t="s">
        <v>229</v>
      </c>
      <c r="E88" s="30" t="s">
        <v>170</v>
      </c>
      <c r="F88" s="30" t="s">
        <v>453</v>
      </c>
      <c r="G88" s="30" t="s">
        <v>76</v>
      </c>
      <c r="H88" s="30" t="str">
        <f>IFERROR(VLOOKUP(TRIM(IF(ISNUMBER(FIND(",", B88)),LEFT(B88,FIND(",",B88)-1),B88)),master!A:B,2,FALSE),"Belum ada mapping")
</f>
        <v>Sumatera Selatan</v>
      </c>
      <c r="I88" s="30">
        <f>IFERROR(__xludf.DUMMYFUNCTION("IF(REGEXMATCH(F88,""Cari Kerja""),1,0)"),1.0)</f>
        <v>1</v>
      </c>
    </row>
    <row r="89">
      <c r="A89" s="11">
        <v>88.0</v>
      </c>
      <c r="B89" s="30" t="s">
        <v>457</v>
      </c>
      <c r="C89" s="30" t="s">
        <v>20</v>
      </c>
      <c r="D89" s="30" t="s">
        <v>69</v>
      </c>
      <c r="E89" s="30" t="s">
        <v>51</v>
      </c>
      <c r="F89" s="30" t="s">
        <v>23</v>
      </c>
      <c r="G89" s="30" t="s">
        <v>24</v>
      </c>
      <c r="H89" s="30" t="str">
        <f>IFERROR(VLOOKUP(TRIM(IF(ISNUMBER(FIND(",", B89)),LEFT(B89,FIND(",",B89)-1),B89)),master!A:B,2,FALSE),"Belum ada mapping")
</f>
        <v>Lampung</v>
      </c>
      <c r="I89" s="30">
        <f>IFERROR(__xludf.DUMMYFUNCTION("IF(REGEXMATCH(F89,""Cari Kerja""),1,0)"),1.0)</f>
        <v>1</v>
      </c>
    </row>
    <row r="90">
      <c r="A90" s="11">
        <v>89.0</v>
      </c>
      <c r="B90" s="30" t="s">
        <v>461</v>
      </c>
      <c r="C90" s="30" t="s">
        <v>20</v>
      </c>
      <c r="D90" s="30" t="s">
        <v>462</v>
      </c>
      <c r="E90" s="30" t="s">
        <v>463</v>
      </c>
      <c r="F90" s="30" t="s">
        <v>52</v>
      </c>
      <c r="G90" s="30" t="s">
        <v>24</v>
      </c>
      <c r="H90" s="30" t="str">
        <f>IFERROR(VLOOKUP(TRIM(IF(ISNUMBER(FIND(",", B90)),LEFT(B90,FIND(",",B90)-1),B90)),master!A:B,2,FALSE),"Belum ada mapping")
</f>
        <v>Jakarta</v>
      </c>
      <c r="I90" s="30">
        <f>IFERROR(__xludf.DUMMYFUNCTION("IF(REGEXMATCH(F90,""Cari Kerja""),1,0)"),0.0)</f>
        <v>0</v>
      </c>
    </row>
    <row r="91">
      <c r="A91" s="11">
        <v>90.0</v>
      </c>
      <c r="B91" s="30" t="s">
        <v>63</v>
      </c>
      <c r="C91" s="30" t="s">
        <v>49</v>
      </c>
      <c r="D91" s="30" t="s">
        <v>467</v>
      </c>
      <c r="E91" s="30" t="s">
        <v>51</v>
      </c>
      <c r="F91" s="30" t="s">
        <v>31</v>
      </c>
      <c r="G91" s="30" t="s">
        <v>24</v>
      </c>
      <c r="H91" s="30" t="str">
        <f>IFERROR(VLOOKUP(TRIM(IF(ISNUMBER(FIND(",", B91)),LEFT(B91,FIND(",",B91)-1),B91)),master!A:B,2,FALSE),"Belum ada mapping")
</f>
        <v>Jawa Tengah</v>
      </c>
      <c r="I91" s="30">
        <f>IFERROR(__xludf.DUMMYFUNCTION("IF(REGEXMATCH(F91,""Cari Kerja""),1,0)"),1.0)</f>
        <v>1</v>
      </c>
    </row>
    <row r="92">
      <c r="A92" s="11">
        <v>91.0</v>
      </c>
      <c r="B92" s="30" t="s">
        <v>471</v>
      </c>
      <c r="C92" s="30" t="s">
        <v>20</v>
      </c>
      <c r="D92" s="30" t="s">
        <v>472</v>
      </c>
      <c r="E92" s="30" t="s">
        <v>51</v>
      </c>
      <c r="F92" s="30" t="s">
        <v>23</v>
      </c>
      <c r="G92" s="30" t="s">
        <v>38</v>
      </c>
      <c r="H92" s="30" t="str">
        <f>IFERROR(VLOOKUP(TRIM(IF(ISNUMBER(FIND(",", B92)),LEFT(B92,FIND(",",B92)-1),B92)),master!A:B,2,FALSE),"Belum ada mapping")
</f>
        <v>Jawa Timur</v>
      </c>
      <c r="I92" s="30">
        <f>IFERROR(__xludf.DUMMYFUNCTION("IF(REGEXMATCH(F92,""Cari Kerja""),1,0)"),1.0)</f>
        <v>1</v>
      </c>
    </row>
    <row r="93">
      <c r="A93" s="11">
        <v>92.0</v>
      </c>
      <c r="B93" s="30" t="s">
        <v>364</v>
      </c>
      <c r="C93" s="30" t="s">
        <v>20</v>
      </c>
      <c r="D93" s="30" t="s">
        <v>476</v>
      </c>
      <c r="E93" s="30" t="s">
        <v>51</v>
      </c>
      <c r="F93" s="30" t="s">
        <v>130</v>
      </c>
      <c r="G93" s="30" t="s">
        <v>24</v>
      </c>
      <c r="H93" s="30" t="str">
        <f>IFERROR(VLOOKUP(TRIM(IF(ISNUMBER(FIND(",", B93)),LEFT(B93,FIND(",",B93)-1),B93)),master!A:B,2,FALSE),"Belum ada mapping")
</f>
        <v>Jakarta</v>
      </c>
      <c r="I93" s="30">
        <f>IFERROR(__xludf.DUMMYFUNCTION("IF(REGEXMATCH(F93,""Cari Kerja""),1,0)"),1.0)</f>
        <v>1</v>
      </c>
    </row>
    <row r="94">
      <c r="A94" s="11">
        <v>93.0</v>
      </c>
      <c r="B94" s="30" t="s">
        <v>74</v>
      </c>
      <c r="C94" s="30" t="s">
        <v>20</v>
      </c>
      <c r="D94" s="30" t="s">
        <v>480</v>
      </c>
      <c r="E94" s="30" t="s">
        <v>430</v>
      </c>
      <c r="F94" s="30" t="s">
        <v>59</v>
      </c>
      <c r="G94" s="30" t="s">
        <v>76</v>
      </c>
      <c r="H94" s="30" t="str">
        <f>IFERROR(VLOOKUP(TRIM(IF(ISNUMBER(FIND(",", B94)),LEFT(B94,FIND(",",B94)-1),B94)),master!A:B,2,FALSE),"Belum ada mapping")
</f>
        <v>Banten</v>
      </c>
      <c r="I94" s="30">
        <f>IFERROR(__xludf.DUMMYFUNCTION("IF(REGEXMATCH(F94,""Cari Kerja""),1,0)"),0.0)</f>
        <v>0</v>
      </c>
    </row>
    <row r="95">
      <c r="A95" s="11">
        <v>94.0</v>
      </c>
      <c r="B95" s="30" t="s">
        <v>484</v>
      </c>
      <c r="C95" s="30" t="s">
        <v>20</v>
      </c>
      <c r="D95" s="30" t="s">
        <v>485</v>
      </c>
      <c r="E95" s="30" t="s">
        <v>51</v>
      </c>
      <c r="F95" s="30" t="s">
        <v>23</v>
      </c>
      <c r="G95" s="30" t="s">
        <v>38</v>
      </c>
      <c r="H95" s="30" t="str">
        <f>IFERROR(VLOOKUP(TRIM(IF(ISNUMBER(FIND(",", B95)),LEFT(B95,FIND(",",B95)-1),B95)),master!A:B,2,FALSE),"Belum ada mapping")
</f>
        <v>Jawa Tengah</v>
      </c>
      <c r="I95" s="30">
        <f>IFERROR(__xludf.DUMMYFUNCTION("IF(REGEXMATCH(F95,""Cari Kerja""),1,0)"),1.0)</f>
        <v>1</v>
      </c>
    </row>
    <row r="96">
      <c r="A96" s="11">
        <v>95.0</v>
      </c>
      <c r="B96" s="30" t="s">
        <v>86</v>
      </c>
      <c r="C96" s="30" t="s">
        <v>20</v>
      </c>
      <c r="D96" s="30" t="s">
        <v>267</v>
      </c>
      <c r="E96" s="30" t="s">
        <v>51</v>
      </c>
      <c r="F96" s="30" t="s">
        <v>23</v>
      </c>
      <c r="G96" s="30" t="s">
        <v>24</v>
      </c>
      <c r="H96" s="30" t="str">
        <f>IFERROR(VLOOKUP(TRIM(IF(ISNUMBER(FIND(",", B96)),LEFT(B96,FIND(",",B96)-1),B96)),master!A:B,2,FALSE),"Belum ada mapping")
</f>
        <v>Jawa Tengah</v>
      </c>
      <c r="I96" s="30">
        <f>IFERROR(__xludf.DUMMYFUNCTION("IF(REGEXMATCH(F96,""Cari Kerja""),1,0)"),1.0)</f>
        <v>1</v>
      </c>
    </row>
    <row r="97">
      <c r="A97" s="11">
        <v>96.0</v>
      </c>
      <c r="B97" s="30" t="s">
        <v>492</v>
      </c>
      <c r="C97" s="30" t="s">
        <v>49</v>
      </c>
      <c r="D97" s="30" t="s">
        <v>69</v>
      </c>
      <c r="E97" s="30" t="s">
        <v>439</v>
      </c>
      <c r="F97" s="30" t="s">
        <v>154</v>
      </c>
      <c r="G97" s="30" t="s">
        <v>24</v>
      </c>
      <c r="H97" s="30" t="str">
        <f>IFERROR(VLOOKUP(TRIM(IF(ISNUMBER(FIND(",", B97)),LEFT(B97,FIND(",",B97)-1),B97)),master!A:B,2,FALSE),"Belum ada mapping")
</f>
        <v>Bengkulu</v>
      </c>
      <c r="I97" s="30">
        <f>IFERROR(__xludf.DUMMYFUNCTION("IF(REGEXMATCH(F97,""Cari Kerja""),1,0)"),0.0)</f>
        <v>0</v>
      </c>
    </row>
    <row r="98">
      <c r="A98" s="11">
        <v>97.0</v>
      </c>
      <c r="B98" s="30" t="s">
        <v>74</v>
      </c>
      <c r="C98" s="30" t="s">
        <v>49</v>
      </c>
      <c r="D98" s="30" t="s">
        <v>496</v>
      </c>
      <c r="E98" s="30" t="s">
        <v>165</v>
      </c>
      <c r="F98" s="30" t="s">
        <v>154</v>
      </c>
      <c r="G98" s="30" t="s">
        <v>24</v>
      </c>
      <c r="H98" s="30" t="str">
        <f>IFERROR(VLOOKUP(TRIM(IF(ISNUMBER(FIND(",", B98)),LEFT(B98,FIND(",",B98)-1),B98)),master!A:B,2,FALSE),"Belum ada mapping")
</f>
        <v>Banten</v>
      </c>
      <c r="I98" s="30">
        <f>IFERROR(__xludf.DUMMYFUNCTION("IF(REGEXMATCH(F98,""Cari Kerja""),1,0)"),0.0)</f>
        <v>0</v>
      </c>
    </row>
    <row r="99">
      <c r="A99" s="11">
        <v>98.0</v>
      </c>
      <c r="B99" s="30" t="s">
        <v>457</v>
      </c>
      <c r="C99" s="30" t="s">
        <v>20</v>
      </c>
      <c r="D99" s="30" t="s">
        <v>500</v>
      </c>
      <c r="E99" s="30" t="s">
        <v>463</v>
      </c>
      <c r="F99" s="30" t="s">
        <v>130</v>
      </c>
      <c r="G99" s="30" t="s">
        <v>24</v>
      </c>
      <c r="H99" s="30" t="str">
        <f>IFERROR(VLOOKUP(TRIM(IF(ISNUMBER(FIND(",", B99)),LEFT(B99,FIND(",",B99)-1),B99)),master!A:B,2,FALSE),"Belum ada mapping")
</f>
        <v>Lampung</v>
      </c>
      <c r="I99" s="30">
        <f>IFERROR(__xludf.DUMMYFUNCTION("IF(REGEXMATCH(F99,""Cari Kerja""),1,0)"),1.0)</f>
        <v>1</v>
      </c>
    </row>
    <row r="100">
      <c r="A100" s="11">
        <v>99.0</v>
      </c>
      <c r="B100" s="30" t="s">
        <v>504</v>
      </c>
      <c r="C100" s="30" t="s">
        <v>20</v>
      </c>
      <c r="D100" s="30" t="s">
        <v>69</v>
      </c>
      <c r="E100" s="30" t="s">
        <v>93</v>
      </c>
      <c r="F100" s="30" t="s">
        <v>109</v>
      </c>
      <c r="G100" s="30" t="s">
        <v>76</v>
      </c>
      <c r="H100" s="30" t="str">
        <f>IFERROR(VLOOKUP(TRIM(IF(ISNUMBER(FIND(",", B100)),LEFT(B100,FIND(",",B100)-1),B100)),master!A:B,2,FALSE),"Belum ada mapping")
</f>
        <v>Riau</v>
      </c>
      <c r="I100" s="30">
        <f>IFERROR(__xludf.DUMMYFUNCTION("IF(REGEXMATCH(F100,""Cari Kerja""),1,0)"),1.0)</f>
        <v>1</v>
      </c>
    </row>
    <row r="101">
      <c r="A101" s="11">
        <v>100.0</v>
      </c>
      <c r="B101" s="30" t="s">
        <v>207</v>
      </c>
      <c r="C101" s="30" t="s">
        <v>49</v>
      </c>
      <c r="D101" s="30" t="s">
        <v>508</v>
      </c>
      <c r="E101" s="30" t="s">
        <v>509</v>
      </c>
      <c r="F101" s="30" t="s">
        <v>13</v>
      </c>
      <c r="G101" s="30" t="s">
        <v>24</v>
      </c>
      <c r="H101" s="30" t="str">
        <f>IFERROR(VLOOKUP(TRIM(IF(ISNUMBER(FIND(",", B101)),LEFT(B101,FIND(",",B101)-1),B101)),master!A:B,2,FALSE),"Belum ada mapping")
</f>
        <v>Jakarta</v>
      </c>
      <c r="I101" s="30">
        <f>IFERROR(__xludf.DUMMYFUNCTION("IF(REGEXMATCH(F101,""Cari Kerja""),1,0)"),0.0)</f>
        <v>0</v>
      </c>
    </row>
    <row r="102">
      <c r="A102" s="11">
        <v>101.0</v>
      </c>
      <c r="B102" s="30" t="s">
        <v>364</v>
      </c>
      <c r="C102" s="30" t="s">
        <v>49</v>
      </c>
      <c r="D102" s="30" t="s">
        <v>369</v>
      </c>
      <c r="E102" s="30" t="s">
        <v>513</v>
      </c>
      <c r="F102" s="30" t="s">
        <v>59</v>
      </c>
      <c r="G102" s="30" t="s">
        <v>24</v>
      </c>
      <c r="H102" s="30" t="str">
        <f>IFERROR(VLOOKUP(TRIM(IF(ISNUMBER(FIND(",", B102)),LEFT(B102,FIND(",",B102)-1),B102)),master!A:B,2,FALSE),"Belum ada mapping")
</f>
        <v>Jakarta</v>
      </c>
      <c r="I102" s="30">
        <f>IFERROR(__xludf.DUMMYFUNCTION("IF(REGEXMATCH(F102,""Cari Kerja""),1,0)"),0.0)</f>
        <v>0</v>
      </c>
    </row>
    <row r="103">
      <c r="A103" s="11">
        <v>102.0</v>
      </c>
      <c r="B103" s="30" t="s">
        <v>113</v>
      </c>
      <c r="C103" s="30" t="s">
        <v>49</v>
      </c>
      <c r="D103" s="30" t="s">
        <v>149</v>
      </c>
      <c r="E103" s="30" t="s">
        <v>517</v>
      </c>
      <c r="F103" s="30" t="s">
        <v>154</v>
      </c>
      <c r="G103" s="30" t="s">
        <v>24</v>
      </c>
      <c r="H103" s="30" t="str">
        <f>IFERROR(VLOOKUP(TRIM(IF(ISNUMBER(FIND(",", B103)),LEFT(B103,FIND(",",B103)-1),B103)),master!A:B,2,FALSE),"Belum ada mapping")
</f>
        <v>Sumatera Utara</v>
      </c>
      <c r="I103" s="30">
        <f>IFERROR(__xludf.DUMMYFUNCTION("IF(REGEXMATCH(F103,""Cari Kerja""),1,0)"),0.0)</f>
        <v>0</v>
      </c>
    </row>
    <row r="104">
      <c r="A104" s="11">
        <v>103.0</v>
      </c>
      <c r="B104" s="30" t="s">
        <v>122</v>
      </c>
      <c r="C104" s="30" t="s">
        <v>20</v>
      </c>
      <c r="D104" s="30" t="s">
        <v>521</v>
      </c>
      <c r="E104" s="30" t="s">
        <v>509</v>
      </c>
      <c r="F104" s="30" t="s">
        <v>23</v>
      </c>
      <c r="G104" s="30" t="s">
        <v>38</v>
      </c>
      <c r="H104" s="30" t="str">
        <f>IFERROR(VLOOKUP(TRIM(IF(ISNUMBER(FIND(",", B104)),LEFT(B104,FIND(",",B104)-1),B104)),master!A:B,2,FALSE),"Belum ada mapping")
</f>
        <v>Sulawesi Selatan</v>
      </c>
      <c r="I104" s="30">
        <f>IFERROR(__xludf.DUMMYFUNCTION("IF(REGEXMATCH(F104,""Cari Kerja""),1,0)"),1.0)</f>
        <v>1</v>
      </c>
    </row>
    <row r="105">
      <c r="A105" s="11">
        <v>104.0</v>
      </c>
      <c r="B105" s="30" t="s">
        <v>525</v>
      </c>
      <c r="C105" s="30" t="s">
        <v>20</v>
      </c>
      <c r="D105" s="30" t="s">
        <v>69</v>
      </c>
      <c r="E105" s="30" t="s">
        <v>51</v>
      </c>
      <c r="F105" s="30" t="s">
        <v>23</v>
      </c>
      <c r="G105" s="30" t="s">
        <v>38</v>
      </c>
      <c r="H105" s="30" t="str">
        <f>IFERROR(VLOOKUP(TRIM(IF(ISNUMBER(FIND(",", B105)),LEFT(B105,FIND(",",B105)-1),B105)),master!A:B,2,FALSE),"Belum ada mapping")
</f>
        <v>Jawa Tengah</v>
      </c>
      <c r="I105" s="30">
        <f>IFERROR(__xludf.DUMMYFUNCTION("IF(REGEXMATCH(F105,""Cari Kerja""),1,0)"),1.0)</f>
        <v>1</v>
      </c>
    </row>
    <row r="106">
      <c r="A106" s="11">
        <v>105.0</v>
      </c>
      <c r="B106" s="30" t="s">
        <v>529</v>
      </c>
      <c r="C106" s="30" t="s">
        <v>20</v>
      </c>
      <c r="D106" s="30" t="s">
        <v>530</v>
      </c>
      <c r="E106" s="30" t="s">
        <v>531</v>
      </c>
      <c r="F106" s="30" t="s">
        <v>31</v>
      </c>
      <c r="G106" s="30" t="s">
        <v>76</v>
      </c>
      <c r="H106" s="30" t="str">
        <f>IFERROR(VLOOKUP(TRIM(IF(ISNUMBER(FIND(",", B106)),LEFT(B106,FIND(",",B106)-1),B106)),master!A:B,2,FALSE),"Belum ada mapping")
</f>
        <v>Jawa Timur</v>
      </c>
      <c r="I106" s="30">
        <f>IFERROR(__xludf.DUMMYFUNCTION("IF(REGEXMATCH(F106,""Cari Kerja""),1,0)"),1.0)</f>
        <v>1</v>
      </c>
    </row>
    <row r="107">
      <c r="A107" s="11">
        <v>106.0</v>
      </c>
      <c r="B107" s="30" t="s">
        <v>535</v>
      </c>
      <c r="C107" s="30" t="s">
        <v>49</v>
      </c>
      <c r="D107" s="30" t="s">
        <v>536</v>
      </c>
      <c r="E107" s="30" t="s">
        <v>51</v>
      </c>
      <c r="F107" s="30" t="s">
        <v>31</v>
      </c>
      <c r="G107" s="30" t="s">
        <v>24</v>
      </c>
      <c r="H107" s="30" t="str">
        <f>IFERROR(VLOOKUP(TRIM(IF(ISNUMBER(FIND(",", B107)),LEFT(B107,FIND(",",B107)-1),B107)),master!A:B,2,FALSE),"Belum ada mapping")
</f>
        <v>Jakarta</v>
      </c>
      <c r="I107" s="30">
        <f>IFERROR(__xludf.DUMMYFUNCTION("IF(REGEXMATCH(F107,""Cari Kerja""),1,0)"),1.0)</f>
        <v>1</v>
      </c>
    </row>
    <row r="108">
      <c r="A108" s="11">
        <v>107.0</v>
      </c>
      <c r="B108" s="30" t="s">
        <v>538</v>
      </c>
      <c r="C108" s="30" t="s">
        <v>49</v>
      </c>
      <c r="D108" s="30" t="s">
        <v>539</v>
      </c>
      <c r="E108" s="30" t="s">
        <v>540</v>
      </c>
      <c r="F108" s="30" t="s">
        <v>31</v>
      </c>
      <c r="G108" s="30" t="s">
        <v>24</v>
      </c>
      <c r="H108" s="30" t="str">
        <f>IFERROR(VLOOKUP(TRIM(IF(ISNUMBER(FIND(",", B108)),LEFT(B108,FIND(",",B108)-1),B108)),master!A:B,2,FALSE),"Belum ada mapping")
</f>
        <v>Jakarta</v>
      </c>
      <c r="I108" s="30">
        <f>IFERROR(__xludf.DUMMYFUNCTION("IF(REGEXMATCH(F108,""Cari Kerja""),1,0)"),1.0)</f>
        <v>1</v>
      </c>
    </row>
    <row r="109">
      <c r="A109" s="11">
        <v>108.0</v>
      </c>
      <c r="B109" s="30" t="s">
        <v>414</v>
      </c>
      <c r="C109" s="30" t="s">
        <v>20</v>
      </c>
      <c r="D109" s="30" t="s">
        <v>544</v>
      </c>
      <c r="E109" s="30" t="s">
        <v>51</v>
      </c>
      <c r="F109" s="30" t="s">
        <v>23</v>
      </c>
      <c r="G109" s="30" t="s">
        <v>24</v>
      </c>
      <c r="H109" s="30" t="str">
        <f>IFERROR(VLOOKUP(TRIM(IF(ISNUMBER(FIND(",", B109)),LEFT(B109,FIND(",",B109)-1),B109)),master!A:B,2,FALSE),"Belum ada mapping")
</f>
        <v>DI Yogyakarta</v>
      </c>
      <c r="I109" s="30">
        <f>IFERROR(__xludf.DUMMYFUNCTION("IF(REGEXMATCH(F109,""Cari Kerja""),1,0)"),1.0)</f>
        <v>1</v>
      </c>
    </row>
    <row r="110">
      <c r="A110" s="11">
        <v>109.0</v>
      </c>
      <c r="B110" s="30" t="s">
        <v>92</v>
      </c>
      <c r="C110" s="30" t="s">
        <v>20</v>
      </c>
      <c r="D110" s="30" t="s">
        <v>448</v>
      </c>
      <c r="E110" s="30" t="s">
        <v>51</v>
      </c>
      <c r="F110" s="30" t="s">
        <v>23</v>
      </c>
      <c r="G110" s="30" t="s">
        <v>24</v>
      </c>
      <c r="H110" s="30" t="str">
        <f>IFERROR(VLOOKUP(TRIM(IF(ISNUMBER(FIND(",", B110)),LEFT(B110,FIND(",",B110)-1),B110)),master!A:B,2,FALSE),"Belum ada mapping")
</f>
        <v>Jawa Barat</v>
      </c>
      <c r="I110" s="30">
        <f>IFERROR(__xludf.DUMMYFUNCTION("IF(REGEXMATCH(F110,""Cari Kerja""),1,0)"),1.0)</f>
        <v>1</v>
      </c>
    </row>
    <row r="111">
      <c r="A111" s="11">
        <v>110.0</v>
      </c>
      <c r="B111" s="30" t="s">
        <v>551</v>
      </c>
      <c r="C111" s="30" t="s">
        <v>20</v>
      </c>
      <c r="D111" s="30" t="s">
        <v>552</v>
      </c>
      <c r="E111" s="30" t="s">
        <v>30</v>
      </c>
      <c r="F111" s="30" t="s">
        <v>130</v>
      </c>
      <c r="G111" s="30" t="s">
        <v>24</v>
      </c>
      <c r="H111" s="30" t="str">
        <f>IFERROR(VLOOKUP(TRIM(IF(ISNUMBER(FIND(",", B111)),LEFT(B111,FIND(",",B111)-1),B111)),master!A:B,2,FALSE),"Belum ada mapping")
</f>
        <v>Jawa Barat</v>
      </c>
      <c r="I111" s="30">
        <f>IFERROR(__xludf.DUMMYFUNCTION("IF(REGEXMATCH(F111,""Cari Kerja""),1,0)"),1.0)</f>
        <v>1</v>
      </c>
    </row>
    <row r="112">
      <c r="A112" s="11">
        <v>111.0</v>
      </c>
      <c r="B112" s="30" t="s">
        <v>28</v>
      </c>
      <c r="C112" s="30" t="s">
        <v>20</v>
      </c>
      <c r="D112" s="30" t="s">
        <v>556</v>
      </c>
      <c r="E112" s="30" t="s">
        <v>557</v>
      </c>
      <c r="F112" s="30" t="s">
        <v>23</v>
      </c>
      <c r="G112" s="30" t="s">
        <v>24</v>
      </c>
      <c r="H112" s="30" t="str">
        <f>IFERROR(VLOOKUP(TRIM(IF(ISNUMBER(FIND(",", B112)),LEFT(B112,FIND(",",B112)-1),B112)),master!A:B,2,FALSE),"Belum ada mapping")
</f>
        <v>Sumatera Barat</v>
      </c>
      <c r="I112" s="30">
        <f>IFERROR(__xludf.DUMMYFUNCTION("IF(REGEXMATCH(F112,""Cari Kerja""),1,0)"),1.0)</f>
        <v>1</v>
      </c>
    </row>
    <row r="113">
      <c r="A113" s="11">
        <v>112.0</v>
      </c>
      <c r="B113" s="30" t="s">
        <v>122</v>
      </c>
      <c r="C113" s="30" t="s">
        <v>49</v>
      </c>
      <c r="D113" s="30" t="s">
        <v>561</v>
      </c>
      <c r="E113" s="30" t="s">
        <v>51</v>
      </c>
      <c r="F113" s="30" t="s">
        <v>31</v>
      </c>
      <c r="G113" s="30" t="s">
        <v>24</v>
      </c>
      <c r="H113" s="30" t="str">
        <f>IFERROR(VLOOKUP(TRIM(IF(ISNUMBER(FIND(",", B113)),LEFT(B113,FIND(",",B113)-1),B113)),master!A:B,2,FALSE),"Belum ada mapping")
</f>
        <v>Sulawesi Selatan</v>
      </c>
      <c r="I113" s="30">
        <f>IFERROR(__xludf.DUMMYFUNCTION("IF(REGEXMATCH(F113,""Cari Kerja""),1,0)"),1.0)</f>
        <v>1</v>
      </c>
    </row>
    <row r="114">
      <c r="A114" s="11">
        <v>113.0</v>
      </c>
      <c r="B114" s="30" t="s">
        <v>565</v>
      </c>
      <c r="C114" s="30" t="s">
        <v>49</v>
      </c>
      <c r="D114" s="30" t="s">
        <v>566</v>
      </c>
      <c r="E114" s="30" t="s">
        <v>567</v>
      </c>
      <c r="F114" s="30" t="s">
        <v>154</v>
      </c>
      <c r="G114" s="30" t="s">
        <v>24</v>
      </c>
      <c r="H114" s="30" t="str">
        <f>IFERROR(VLOOKUP(TRIM(IF(ISNUMBER(FIND(",", B114)),LEFT(B114,FIND(",",B114)-1),B114)),master!A:B,2,FALSE),"Belum ada mapping")
</f>
        <v>Riau</v>
      </c>
      <c r="I114" s="30">
        <f>IFERROR(__xludf.DUMMYFUNCTION("IF(REGEXMATCH(F114,""Cari Kerja""),1,0)"),0.0)</f>
        <v>0</v>
      </c>
    </row>
    <row r="115">
      <c r="A115" s="11">
        <v>114.0</v>
      </c>
      <c r="B115" s="30" t="s">
        <v>571</v>
      </c>
      <c r="C115" s="30" t="s">
        <v>20</v>
      </c>
      <c r="D115" s="30" t="s">
        <v>69</v>
      </c>
      <c r="E115" s="30" t="s">
        <v>51</v>
      </c>
      <c r="F115" s="30" t="s">
        <v>130</v>
      </c>
      <c r="G115" s="30" t="s">
        <v>24</v>
      </c>
      <c r="H115" s="30" t="str">
        <f>IFERROR(VLOOKUP(TRIM(IF(ISNUMBER(FIND(",", B115)),LEFT(B115,FIND(",",B115)-1),B115)),master!A:B,2,FALSE),"Belum ada mapping")
</f>
        <v>Jawa Barat</v>
      </c>
      <c r="I115" s="30">
        <f>IFERROR(__xludf.DUMMYFUNCTION("IF(REGEXMATCH(F115,""Cari Kerja""),1,0)"),1.0)</f>
        <v>1</v>
      </c>
    </row>
    <row r="116">
      <c r="A116" s="11">
        <v>115.0</v>
      </c>
      <c r="B116" s="30" t="s">
        <v>575</v>
      </c>
      <c r="C116" s="30" t="s">
        <v>20</v>
      </c>
      <c r="D116" s="30" t="s">
        <v>576</v>
      </c>
      <c r="E116" s="30" t="s">
        <v>577</v>
      </c>
      <c r="F116" s="30" t="s">
        <v>23</v>
      </c>
      <c r="G116" s="30" t="s">
        <v>38</v>
      </c>
      <c r="H116" s="30" t="str">
        <f>IFERROR(VLOOKUP(TRIM(IF(ISNUMBER(FIND(",", B116)),LEFT(B116,FIND(",",B116)-1),B116)),master!A:B,2,FALSE),"Belum ada mapping")
</f>
        <v>Jawa Tengah</v>
      </c>
      <c r="I116" s="30">
        <f>IFERROR(__xludf.DUMMYFUNCTION("IF(REGEXMATCH(F116,""Cari Kerja""),1,0)"),1.0)</f>
        <v>1</v>
      </c>
    </row>
    <row r="117">
      <c r="A117" s="11">
        <v>116.0</v>
      </c>
      <c r="B117" s="30" t="s">
        <v>74</v>
      </c>
      <c r="C117" s="30" t="s">
        <v>49</v>
      </c>
      <c r="D117" s="30" t="s">
        <v>581</v>
      </c>
      <c r="E117" s="30" t="s">
        <v>582</v>
      </c>
      <c r="F117" s="30" t="s">
        <v>130</v>
      </c>
      <c r="G117" s="30" t="s">
        <v>38</v>
      </c>
      <c r="H117" s="30" t="str">
        <f>IFERROR(VLOOKUP(TRIM(IF(ISNUMBER(FIND(",", B117)),LEFT(B117,FIND(",",B117)-1),B117)),master!A:B,2,FALSE),"Belum ada mapping")
</f>
        <v>Banten</v>
      </c>
      <c r="I117" s="30">
        <f>IFERROR(__xludf.DUMMYFUNCTION("IF(REGEXMATCH(F117,""Cari Kerja""),1,0)"),1.0)</f>
        <v>1</v>
      </c>
    </row>
    <row r="118">
      <c r="A118" s="11">
        <v>117.0</v>
      </c>
      <c r="B118" s="30" t="s">
        <v>174</v>
      </c>
      <c r="C118" s="30" t="s">
        <v>20</v>
      </c>
      <c r="D118" s="30" t="s">
        <v>586</v>
      </c>
      <c r="E118" s="30" t="s">
        <v>51</v>
      </c>
      <c r="F118" s="30" t="s">
        <v>23</v>
      </c>
      <c r="G118" s="30" t="s">
        <v>24</v>
      </c>
      <c r="H118" s="30" t="str">
        <f>IFERROR(VLOOKUP(TRIM(IF(ISNUMBER(FIND(",", B118)),LEFT(B118,FIND(",",B118)-1),B118)),master!A:B,2,FALSE),"Belum ada mapping")
</f>
        <v>Jawa Timur</v>
      </c>
      <c r="I118" s="30">
        <f>IFERROR(__xludf.DUMMYFUNCTION("IF(REGEXMATCH(F118,""Cari Kerja""),1,0)"),1.0)</f>
        <v>1</v>
      </c>
    </row>
    <row r="119">
      <c r="A119" s="11">
        <v>118.0</v>
      </c>
      <c r="B119" s="30" t="s">
        <v>174</v>
      </c>
      <c r="C119" s="30" t="s">
        <v>20</v>
      </c>
      <c r="D119" s="30" t="s">
        <v>586</v>
      </c>
      <c r="E119" s="30" t="s">
        <v>51</v>
      </c>
      <c r="F119" s="30" t="s">
        <v>23</v>
      </c>
      <c r="G119" s="30" t="s">
        <v>76</v>
      </c>
      <c r="H119" s="30" t="str">
        <f>IFERROR(VLOOKUP(TRIM(IF(ISNUMBER(FIND(",", B119)),LEFT(B119,FIND(",",B119)-1),B119)),master!A:B,2,FALSE),"Belum ada mapping")
</f>
        <v>Jawa Timur</v>
      </c>
      <c r="I119" s="30">
        <f>IFERROR(__xludf.DUMMYFUNCTION("IF(REGEXMATCH(F119,""Cari Kerja""),1,0)"),1.0)</f>
        <v>1</v>
      </c>
    </row>
    <row r="120">
      <c r="A120" s="11">
        <v>119.0</v>
      </c>
      <c r="B120" s="30" t="s">
        <v>591</v>
      </c>
      <c r="C120" s="30" t="s">
        <v>20</v>
      </c>
      <c r="D120" s="30" t="s">
        <v>592</v>
      </c>
      <c r="E120" s="30" t="s">
        <v>51</v>
      </c>
      <c r="F120" s="30" t="s">
        <v>13</v>
      </c>
      <c r="G120" s="30" t="s">
        <v>24</v>
      </c>
      <c r="H120" s="30" t="str">
        <f>IFERROR(VLOOKUP(TRIM(IF(ISNUMBER(FIND(",", B120)),LEFT(B120,FIND(",",B120)-1),B120)),master!A:B,2,FALSE),"Belum ada mapping")
</f>
        <v>Kalimantan Barat</v>
      </c>
      <c r="I120" s="30">
        <f>IFERROR(__xludf.DUMMYFUNCTION("IF(REGEXMATCH(F120,""Cari Kerja""),1,0)"),0.0)</f>
        <v>0</v>
      </c>
    </row>
    <row r="121">
      <c r="A121" s="11">
        <v>120.0</v>
      </c>
      <c r="B121" s="30" t="s">
        <v>591</v>
      </c>
      <c r="C121" s="30" t="s">
        <v>20</v>
      </c>
      <c r="D121" s="30" t="s">
        <v>552</v>
      </c>
      <c r="E121" s="30" t="s">
        <v>93</v>
      </c>
      <c r="F121" s="30" t="s">
        <v>130</v>
      </c>
      <c r="G121" s="30" t="s">
        <v>24</v>
      </c>
      <c r="H121" s="30" t="str">
        <f>IFERROR(VLOOKUP(TRIM(IF(ISNUMBER(FIND(",", B121)),LEFT(B121,FIND(",",B121)-1),B121)),master!A:B,2,FALSE),"Belum ada mapping")
</f>
        <v>Kalimantan Barat</v>
      </c>
      <c r="I121" s="30">
        <f>IFERROR(__xludf.DUMMYFUNCTION("IF(REGEXMATCH(F121,""Cari Kerja""),1,0)"),1.0)</f>
        <v>1</v>
      </c>
    </row>
    <row r="122">
      <c r="A122" s="11">
        <v>121.0</v>
      </c>
      <c r="B122" s="30" t="s">
        <v>596</v>
      </c>
      <c r="C122" s="30" t="s">
        <v>49</v>
      </c>
      <c r="D122" s="30" t="s">
        <v>597</v>
      </c>
      <c r="E122" s="30" t="s">
        <v>181</v>
      </c>
      <c r="F122" s="30" t="s">
        <v>13</v>
      </c>
      <c r="G122" s="30" t="s">
        <v>24</v>
      </c>
      <c r="H122" s="30" t="str">
        <f>IFERROR(VLOOKUP(TRIM(IF(ISNUMBER(FIND(",", B122)),LEFT(B122,FIND(",",B122)-1),B122)),master!A:B,2,FALSE),"Belum ada mapping")
</f>
        <v>Jawa Timur</v>
      </c>
      <c r="I122" s="30">
        <f>IFERROR(__xludf.DUMMYFUNCTION("IF(REGEXMATCH(F122,""Cari Kerja""),1,0)"),0.0)</f>
        <v>0</v>
      </c>
    </row>
    <row r="123">
      <c r="A123" s="11">
        <v>122.0</v>
      </c>
      <c r="B123" s="30" t="s">
        <v>327</v>
      </c>
      <c r="C123" s="30" t="s">
        <v>49</v>
      </c>
      <c r="D123" s="30" t="s">
        <v>229</v>
      </c>
      <c r="E123" s="30" t="s">
        <v>567</v>
      </c>
      <c r="F123" s="30" t="s">
        <v>31</v>
      </c>
      <c r="G123" s="30" t="s">
        <v>24</v>
      </c>
      <c r="H123" s="30" t="str">
        <f>IFERROR(VLOOKUP(TRIM(IF(ISNUMBER(FIND(",", B123)),LEFT(B123,FIND(",",B123)-1),B123)),master!A:B,2,FALSE),"Belum ada mapping")
</f>
        <v>Jakarta</v>
      </c>
      <c r="I123" s="30">
        <f>IFERROR(__xludf.DUMMYFUNCTION("IF(REGEXMATCH(F123,""Cari Kerja""),1,0)"),1.0)</f>
        <v>1</v>
      </c>
    </row>
    <row r="124">
      <c r="A124" s="11">
        <v>123.0</v>
      </c>
      <c r="B124" s="30" t="s">
        <v>604</v>
      </c>
      <c r="C124" s="30" t="s">
        <v>20</v>
      </c>
      <c r="D124" s="30" t="s">
        <v>605</v>
      </c>
      <c r="E124" s="30" t="s">
        <v>606</v>
      </c>
      <c r="F124" s="30" t="s">
        <v>23</v>
      </c>
      <c r="G124" s="30" t="s">
        <v>24</v>
      </c>
      <c r="H124" s="30" t="str">
        <f>IFERROR(VLOOKUP(TRIM(IF(ISNUMBER(FIND(",", B124)),LEFT(B124,FIND(",",B124)-1),B124)),master!A:B,2,FALSE),"Belum ada mapping")
</f>
        <v>Jawa Barat</v>
      </c>
      <c r="I124" s="30">
        <f>IFERROR(__xludf.DUMMYFUNCTION("IF(REGEXMATCH(F124,""Cari Kerja""),1,0)"),1.0)</f>
        <v>1</v>
      </c>
    </row>
    <row r="125">
      <c r="A125" s="11">
        <v>124.0</v>
      </c>
      <c r="B125" s="30" t="s">
        <v>207</v>
      </c>
      <c r="C125" s="30" t="s">
        <v>49</v>
      </c>
      <c r="D125" s="30" t="s">
        <v>229</v>
      </c>
      <c r="E125" s="30" t="s">
        <v>51</v>
      </c>
      <c r="F125" s="30" t="s">
        <v>31</v>
      </c>
      <c r="G125" s="30" t="s">
        <v>24</v>
      </c>
      <c r="H125" s="30" t="str">
        <f>IFERROR(VLOOKUP(TRIM(IF(ISNUMBER(FIND(",", B125)),LEFT(B125,FIND(",",B125)-1),B125)),master!A:B,2,FALSE),"Belum ada mapping")
</f>
        <v>Jakarta</v>
      </c>
      <c r="I125" s="30">
        <f>IFERROR(__xludf.DUMMYFUNCTION("IF(REGEXMATCH(F125,""Cari Kerja""),1,0)"),1.0)</f>
        <v>1</v>
      </c>
    </row>
    <row r="126">
      <c r="A126" s="11">
        <v>125.0</v>
      </c>
      <c r="B126" s="30" t="s">
        <v>613</v>
      </c>
      <c r="C126" s="30" t="s">
        <v>49</v>
      </c>
      <c r="D126" s="30" t="s">
        <v>614</v>
      </c>
      <c r="E126" s="30" t="s">
        <v>278</v>
      </c>
      <c r="F126" s="30" t="s">
        <v>59</v>
      </c>
      <c r="G126" s="30" t="s">
        <v>24</v>
      </c>
      <c r="H126" s="30" t="str">
        <f>IFERROR(VLOOKUP(TRIM(IF(ISNUMBER(FIND(",", B126)),LEFT(B126,FIND(",",B126)-1),B126)),master!A:B,2,FALSE),"Belum ada mapping")
</f>
        <v>Banten</v>
      </c>
      <c r="I126" s="30">
        <f>IFERROR(__xludf.DUMMYFUNCTION("IF(REGEXMATCH(F126,""Cari Kerja""),1,0)"),0.0)</f>
        <v>0</v>
      </c>
    </row>
    <row r="127">
      <c r="A127" s="11">
        <v>126.0</v>
      </c>
      <c r="B127" s="30" t="s">
        <v>74</v>
      </c>
      <c r="C127" s="30" t="s">
        <v>49</v>
      </c>
      <c r="D127" s="30" t="s">
        <v>618</v>
      </c>
      <c r="E127" s="30" t="s">
        <v>619</v>
      </c>
      <c r="F127" s="30" t="s">
        <v>59</v>
      </c>
      <c r="G127" s="30" t="s">
        <v>24</v>
      </c>
      <c r="H127" s="30" t="str">
        <f>IFERROR(VLOOKUP(TRIM(IF(ISNUMBER(FIND(",", B127)),LEFT(B127,FIND(",",B127)-1),B127)),master!A:B,2,FALSE),"Belum ada mapping")
</f>
        <v>Banten</v>
      </c>
      <c r="I127" s="30">
        <f>IFERROR(__xludf.DUMMYFUNCTION("IF(REGEXMATCH(F127,""Cari Kerja""),1,0)"),0.0)</f>
        <v>0</v>
      </c>
    </row>
    <row r="128">
      <c r="A128" s="11">
        <v>127.0</v>
      </c>
      <c r="B128" s="30" t="s">
        <v>207</v>
      </c>
      <c r="C128" s="30" t="s">
        <v>49</v>
      </c>
      <c r="D128" s="30" t="s">
        <v>623</v>
      </c>
      <c r="E128" s="30" t="s">
        <v>624</v>
      </c>
      <c r="F128" s="30" t="s">
        <v>59</v>
      </c>
      <c r="G128" s="30" t="s">
        <v>38</v>
      </c>
      <c r="H128" s="30" t="str">
        <f>IFERROR(VLOOKUP(TRIM(IF(ISNUMBER(FIND(",", B128)),LEFT(B128,FIND(",",B128)-1),B128)),master!A:B,2,FALSE),"Belum ada mapping")
</f>
        <v>Jakarta</v>
      </c>
      <c r="I128" s="30">
        <f>IFERROR(__xludf.DUMMYFUNCTION("IF(REGEXMATCH(F128,""Cari Kerja""),1,0)"),0.0)</f>
        <v>0</v>
      </c>
    </row>
    <row r="129">
      <c r="A129" s="11">
        <v>128.0</v>
      </c>
      <c r="B129" s="30" t="s">
        <v>48</v>
      </c>
      <c r="C129" s="30" t="s">
        <v>49</v>
      </c>
      <c r="D129" s="30" t="s">
        <v>628</v>
      </c>
      <c r="E129" s="30" t="s">
        <v>51</v>
      </c>
      <c r="F129" s="30" t="s">
        <v>13</v>
      </c>
      <c r="G129" s="30" t="s">
        <v>24</v>
      </c>
      <c r="H129" s="30" t="str">
        <f>IFERROR(VLOOKUP(TRIM(IF(ISNUMBER(FIND(",", B129)),LEFT(B129,FIND(",",B129)-1),B129)),master!A:B,2,FALSE),"Belum ada mapping")
</f>
        <v>DI Yogyakarta</v>
      </c>
      <c r="I129" s="30">
        <f>IFERROR(__xludf.DUMMYFUNCTION("IF(REGEXMATCH(F129,""Cari Kerja""),1,0)"),0.0)</f>
        <v>0</v>
      </c>
    </row>
    <row r="130">
      <c r="A130" s="11">
        <v>129.0</v>
      </c>
      <c r="B130" s="30" t="s">
        <v>632</v>
      </c>
      <c r="C130" s="30" t="s">
        <v>20</v>
      </c>
      <c r="D130" s="30" t="s">
        <v>633</v>
      </c>
      <c r="E130" s="30" t="s">
        <v>51</v>
      </c>
      <c r="F130" s="30" t="s">
        <v>453</v>
      </c>
      <c r="G130" s="30" t="s">
        <v>24</v>
      </c>
      <c r="H130" s="30" t="str">
        <f>IFERROR(VLOOKUP(TRIM(IF(ISNUMBER(FIND(",", B130)),LEFT(B130,FIND(",",B130)-1),B130)),master!A:B,2,FALSE),"Belum ada mapping")
</f>
        <v>Jakarta</v>
      </c>
      <c r="I130" s="30">
        <f>IFERROR(__xludf.DUMMYFUNCTION("IF(REGEXMATCH(F130,""Cari Kerja""),1,0)"),1.0)</f>
        <v>1</v>
      </c>
    </row>
    <row r="131">
      <c r="A131" s="11">
        <v>130.0</v>
      </c>
      <c r="B131" s="30" t="s">
        <v>122</v>
      </c>
      <c r="C131" s="30" t="s">
        <v>20</v>
      </c>
      <c r="D131" s="30" t="s">
        <v>637</v>
      </c>
      <c r="E131" s="30" t="s">
        <v>187</v>
      </c>
      <c r="F131" s="30" t="s">
        <v>12</v>
      </c>
      <c r="G131" s="30" t="s">
        <v>76</v>
      </c>
      <c r="H131" s="30" t="str">
        <f>IFERROR(VLOOKUP(TRIM(IF(ISNUMBER(FIND(",", B131)),LEFT(B131,FIND(",",B131)-1),B131)),master!A:B,2,FALSE),"Belum ada mapping")
</f>
        <v>Sulawesi Selatan</v>
      </c>
      <c r="I131" s="30">
        <f>IFERROR(__xludf.DUMMYFUNCTION("IF(REGEXMATCH(F131,""Cari Kerja""),1,0)"),1.0)</f>
        <v>1</v>
      </c>
    </row>
    <row r="132">
      <c r="A132" s="11">
        <v>131.0</v>
      </c>
      <c r="B132" s="30" t="s">
        <v>48</v>
      </c>
      <c r="C132" s="30" t="s">
        <v>20</v>
      </c>
      <c r="D132" s="30" t="s">
        <v>641</v>
      </c>
      <c r="E132" s="30" t="s">
        <v>51</v>
      </c>
      <c r="F132" s="30" t="s">
        <v>23</v>
      </c>
      <c r="G132" s="30" t="s">
        <v>24</v>
      </c>
      <c r="H132" s="30" t="str">
        <f>IFERROR(VLOOKUP(TRIM(IF(ISNUMBER(FIND(",", B132)),LEFT(B132,FIND(",",B132)-1),B132)),master!A:B,2,FALSE),"Belum ada mapping")
</f>
        <v>DI Yogyakarta</v>
      </c>
      <c r="I132" s="30">
        <f>IFERROR(__xludf.DUMMYFUNCTION("IF(REGEXMATCH(F132,""Cari Kerja""),1,0)"),1.0)</f>
        <v>1</v>
      </c>
    </row>
    <row r="133">
      <c r="A133" s="11">
        <v>132.0</v>
      </c>
      <c r="B133" s="30" t="s">
        <v>42</v>
      </c>
      <c r="C133" s="30" t="s">
        <v>20</v>
      </c>
      <c r="D133" s="30" t="s">
        <v>645</v>
      </c>
      <c r="E133" s="30" t="s">
        <v>51</v>
      </c>
      <c r="F133" s="30" t="s">
        <v>130</v>
      </c>
      <c r="G133" s="30" t="s">
        <v>24</v>
      </c>
      <c r="H133" s="30" t="str">
        <f>IFERROR(VLOOKUP(TRIM(IF(ISNUMBER(FIND(",", B133)),LEFT(B133,FIND(",",B133)-1),B133)),master!A:B,2,FALSE),"Belum ada mapping")
</f>
        <v>Jawa Barat</v>
      </c>
      <c r="I133" s="30">
        <f>IFERROR(__xludf.DUMMYFUNCTION("IF(REGEXMATCH(F133,""Cari Kerja""),1,0)"),1.0)</f>
        <v>1</v>
      </c>
    </row>
    <row r="134">
      <c r="A134" s="11">
        <v>133.0</v>
      </c>
      <c r="B134" s="30" t="s">
        <v>551</v>
      </c>
      <c r="C134" s="30" t="s">
        <v>20</v>
      </c>
      <c r="D134" s="30" t="s">
        <v>605</v>
      </c>
      <c r="E134" s="30" t="s">
        <v>225</v>
      </c>
      <c r="F134" s="30" t="s">
        <v>23</v>
      </c>
      <c r="G134" s="30" t="s">
        <v>24</v>
      </c>
      <c r="H134" s="30" t="str">
        <f>IFERROR(VLOOKUP(TRIM(IF(ISNUMBER(FIND(",", B134)),LEFT(B134,FIND(",",B134)-1),B134)),master!A:B,2,FALSE),"Belum ada mapping")
</f>
        <v>Jawa Barat</v>
      </c>
      <c r="I134" s="30">
        <f>IFERROR(__xludf.DUMMYFUNCTION("IF(REGEXMATCH(F134,""Cari Kerja""),1,0)"),1.0)</f>
        <v>1</v>
      </c>
    </row>
    <row r="135">
      <c r="A135" s="11">
        <v>134.0</v>
      </c>
      <c r="B135" s="30" t="s">
        <v>649</v>
      </c>
      <c r="C135" s="30" t="s">
        <v>49</v>
      </c>
      <c r="D135" s="30" t="s">
        <v>650</v>
      </c>
      <c r="E135" s="30" t="s">
        <v>651</v>
      </c>
      <c r="F135" s="30" t="s">
        <v>59</v>
      </c>
      <c r="G135" s="30" t="s">
        <v>24</v>
      </c>
      <c r="H135" s="30" t="str">
        <f>IFERROR(VLOOKUP(TRIM(IF(ISNUMBER(FIND(",", B135)),LEFT(B135,FIND(",",B135)-1),B135)),master!A:B,2,FALSE),"Belum ada mapping")
</f>
        <v>Jawa Timur</v>
      </c>
      <c r="I135" s="30">
        <f>IFERROR(__xludf.DUMMYFUNCTION("IF(REGEXMATCH(F135,""Cari Kerja""),1,0)"),0.0)</f>
        <v>0</v>
      </c>
    </row>
    <row r="136">
      <c r="A136" s="11">
        <v>135.0</v>
      </c>
      <c r="B136" s="30" t="s">
        <v>655</v>
      </c>
      <c r="C136" s="30" t="s">
        <v>20</v>
      </c>
      <c r="D136" s="30" t="s">
        <v>656</v>
      </c>
      <c r="E136" s="30" t="s">
        <v>582</v>
      </c>
      <c r="F136" s="30" t="s">
        <v>154</v>
      </c>
      <c r="G136" s="30" t="s">
        <v>24</v>
      </c>
      <c r="H136" s="30" t="str">
        <f>IFERROR(VLOOKUP(TRIM(IF(ISNUMBER(FIND(",", B136)),LEFT(B136,FIND(",",B136)-1),B136)),master!A:B,2,FALSE),"Belum ada mapping")
</f>
        <v>Jawa Tengah</v>
      </c>
      <c r="I136" s="30">
        <f>IFERROR(__xludf.DUMMYFUNCTION("IF(REGEXMATCH(F136,""Cari Kerja""),1,0)"),0.0)</f>
        <v>0</v>
      </c>
    </row>
    <row r="137">
      <c r="A137" s="11">
        <v>136.0</v>
      </c>
      <c r="B137" s="30" t="s">
        <v>92</v>
      </c>
      <c r="C137" s="30" t="s">
        <v>20</v>
      </c>
      <c r="D137" s="30" t="s">
        <v>660</v>
      </c>
      <c r="E137" s="30" t="s">
        <v>209</v>
      </c>
      <c r="F137" s="30" t="s">
        <v>23</v>
      </c>
      <c r="G137" s="30" t="s">
        <v>38</v>
      </c>
      <c r="H137" s="30" t="str">
        <f>IFERROR(VLOOKUP(TRIM(IF(ISNUMBER(FIND(",", B137)),LEFT(B137,FIND(",",B137)-1),B137)),master!A:B,2,FALSE),"Belum ada mapping")
</f>
        <v>Jawa Barat</v>
      </c>
      <c r="I137" s="30">
        <f>IFERROR(__xludf.DUMMYFUNCTION("IF(REGEXMATCH(F137,""Cari Kerja""),1,0)"),1.0)</f>
        <v>1</v>
      </c>
    </row>
    <row r="138">
      <c r="A138" s="11">
        <v>137.0</v>
      </c>
      <c r="B138" s="30" t="s">
        <v>484</v>
      </c>
      <c r="C138" s="30" t="s">
        <v>20</v>
      </c>
      <c r="D138" s="30" t="s">
        <v>69</v>
      </c>
      <c r="E138" s="30" t="s">
        <v>51</v>
      </c>
      <c r="F138" s="30" t="s">
        <v>31</v>
      </c>
      <c r="G138" s="30" t="s">
        <v>24</v>
      </c>
      <c r="H138" s="30" t="str">
        <f>IFERROR(VLOOKUP(TRIM(IF(ISNUMBER(FIND(",", B138)),LEFT(B138,FIND(",",B138)-1),B138)),master!A:B,2,FALSE),"Belum ada mapping")
</f>
        <v>Jawa Tengah</v>
      </c>
      <c r="I138" s="30">
        <f>IFERROR(__xludf.DUMMYFUNCTION("IF(REGEXMATCH(F138,""Cari Kerja""),1,0)"),1.0)</f>
        <v>1</v>
      </c>
    </row>
    <row r="139">
      <c r="A139" s="11">
        <v>138.0</v>
      </c>
      <c r="B139" s="30" t="s">
        <v>484</v>
      </c>
      <c r="C139" s="30" t="s">
        <v>20</v>
      </c>
      <c r="D139" s="30" t="s">
        <v>69</v>
      </c>
      <c r="E139" s="30" t="s">
        <v>439</v>
      </c>
      <c r="F139" s="30" t="s">
        <v>23</v>
      </c>
      <c r="G139" s="30" t="s">
        <v>24</v>
      </c>
      <c r="H139" s="30" t="str">
        <f>IFERROR(VLOOKUP(TRIM(IF(ISNUMBER(FIND(",", B139)),LEFT(B139,FIND(",",B139)-1),B139)),master!A:B,2,FALSE),"Belum ada mapping")
</f>
        <v>Jawa Tengah</v>
      </c>
      <c r="I139" s="30">
        <f>IFERROR(__xludf.DUMMYFUNCTION("IF(REGEXMATCH(F139,""Cari Kerja""),1,0)"),1.0)</f>
        <v>1</v>
      </c>
    </row>
    <row r="140">
      <c r="A140" s="11">
        <v>139.0</v>
      </c>
      <c r="B140" s="30" t="s">
        <v>207</v>
      </c>
      <c r="C140" s="30" t="s">
        <v>20</v>
      </c>
      <c r="D140" s="30" t="s">
        <v>21</v>
      </c>
      <c r="E140" s="30" t="s">
        <v>463</v>
      </c>
      <c r="F140" s="30" t="s">
        <v>59</v>
      </c>
      <c r="G140" s="30" t="s">
        <v>24</v>
      </c>
      <c r="H140" s="30" t="str">
        <f>IFERROR(VLOOKUP(TRIM(IF(ISNUMBER(FIND(",", B140)),LEFT(B140,FIND(",",B140)-1),B140)),master!A:B,2,FALSE),"Belum ada mapping")
</f>
        <v>Jakarta</v>
      </c>
      <c r="I140" s="30">
        <f>IFERROR(__xludf.DUMMYFUNCTION("IF(REGEXMATCH(F140,""Cari Kerja""),1,0)"),0.0)</f>
        <v>0</v>
      </c>
    </row>
    <row r="141">
      <c r="A141" s="11">
        <v>140.0</v>
      </c>
      <c r="B141" s="30" t="s">
        <v>670</v>
      </c>
      <c r="C141" s="30" t="s">
        <v>49</v>
      </c>
      <c r="D141" s="30" t="s">
        <v>671</v>
      </c>
      <c r="E141" s="30" t="s">
        <v>577</v>
      </c>
      <c r="F141" s="30" t="s">
        <v>31</v>
      </c>
      <c r="G141" s="30" t="s">
        <v>38</v>
      </c>
      <c r="H141" s="30" t="str">
        <f>IFERROR(VLOOKUP(TRIM(IF(ISNUMBER(FIND(",", B141)),LEFT(B141,FIND(",",B141)-1),B141)),master!A:B,2,FALSE),"Belum ada mapping")
</f>
        <v>Belum ada mapping</v>
      </c>
      <c r="I141" s="30">
        <f>IFERROR(__xludf.DUMMYFUNCTION("IF(REGEXMATCH(F141,""Cari Kerja""),1,0)"),1.0)</f>
        <v>1</v>
      </c>
    </row>
    <row r="142">
      <c r="A142" s="11">
        <v>141.0</v>
      </c>
      <c r="B142" s="30" t="s">
        <v>675</v>
      </c>
      <c r="C142" s="30" t="s">
        <v>20</v>
      </c>
      <c r="D142" s="30" t="s">
        <v>676</v>
      </c>
      <c r="E142" s="30" t="s">
        <v>51</v>
      </c>
      <c r="F142" s="30" t="s">
        <v>31</v>
      </c>
      <c r="G142" s="30" t="s">
        <v>38</v>
      </c>
      <c r="H142" s="30" t="str">
        <f>IFERROR(VLOOKUP(TRIM(IF(ISNUMBER(FIND(",", B142)),LEFT(B142,FIND(",",B142)-1),B142)),master!A:B,2,FALSE),"Belum ada mapping")
</f>
        <v>Jawa Tengah</v>
      </c>
      <c r="I142" s="30">
        <f>IFERROR(__xludf.DUMMYFUNCTION("IF(REGEXMATCH(F142,""Cari Kerja""),1,0)"),1.0)</f>
        <v>1</v>
      </c>
    </row>
    <row r="143">
      <c r="A143" s="11">
        <v>142.0</v>
      </c>
      <c r="B143" s="30" t="s">
        <v>680</v>
      </c>
      <c r="C143" s="30" t="s">
        <v>49</v>
      </c>
      <c r="D143" s="30" t="s">
        <v>681</v>
      </c>
      <c r="E143" s="30" t="s">
        <v>160</v>
      </c>
      <c r="F143" s="30" t="s">
        <v>31</v>
      </c>
      <c r="G143" s="30" t="s">
        <v>24</v>
      </c>
      <c r="H143" s="30" t="str">
        <f>IFERROR(VLOOKUP(TRIM(IF(ISNUMBER(FIND(",", B143)),LEFT(B143,FIND(",",B143)-1),B143)),master!A:B,2,FALSE),"Belum ada mapping")
</f>
        <v>Jawa Barat</v>
      </c>
      <c r="I143" s="30">
        <f>IFERROR(__xludf.DUMMYFUNCTION("IF(REGEXMATCH(F143,""Cari Kerja""),1,0)"),1.0)</f>
        <v>1</v>
      </c>
    </row>
    <row r="144">
      <c r="A144" s="11">
        <v>143.0</v>
      </c>
      <c r="B144" s="30" t="s">
        <v>249</v>
      </c>
      <c r="C144" s="30" t="s">
        <v>20</v>
      </c>
      <c r="D144" s="30" t="s">
        <v>685</v>
      </c>
      <c r="E144" s="30" t="s">
        <v>176</v>
      </c>
      <c r="F144" s="30" t="s">
        <v>23</v>
      </c>
      <c r="G144" s="30" t="s">
        <v>24</v>
      </c>
      <c r="H144" s="30" t="str">
        <f>IFERROR(VLOOKUP(TRIM(IF(ISNUMBER(FIND(",", B144)),LEFT(B144,FIND(",",B144)-1),B144)),master!A:B,2,FALSE),"Belum ada mapping")
</f>
        <v>Jambi</v>
      </c>
      <c r="I144" s="30">
        <f>IFERROR(__xludf.DUMMYFUNCTION("IF(REGEXMATCH(F144,""Cari Kerja""),1,0)"),1.0)</f>
        <v>1</v>
      </c>
    </row>
    <row r="145">
      <c r="A145" s="11">
        <v>144.0</v>
      </c>
      <c r="B145" s="30" t="s">
        <v>97</v>
      </c>
      <c r="C145" s="30" t="s">
        <v>20</v>
      </c>
      <c r="D145" s="30" t="s">
        <v>21</v>
      </c>
      <c r="E145" s="30" t="s">
        <v>51</v>
      </c>
      <c r="F145" s="30" t="s">
        <v>23</v>
      </c>
      <c r="G145" s="30" t="s">
        <v>24</v>
      </c>
      <c r="H145" s="30" t="str">
        <f>IFERROR(VLOOKUP(TRIM(IF(ISNUMBER(FIND(",", B145)),LEFT(B145,FIND(",",B145)-1),B145)),master!A:B,2,FALSE),"Belum ada mapping")
</f>
        <v>Jakarta</v>
      </c>
      <c r="I145" s="30">
        <f>IFERROR(__xludf.DUMMYFUNCTION("IF(REGEXMATCH(F145,""Cari Kerja""),1,0)"),1.0)</f>
        <v>1</v>
      </c>
    </row>
    <row r="146">
      <c r="A146" s="11">
        <v>145.0</v>
      </c>
      <c r="B146" s="30" t="s">
        <v>571</v>
      </c>
      <c r="C146" s="30" t="s">
        <v>20</v>
      </c>
      <c r="D146" s="30" t="s">
        <v>21</v>
      </c>
      <c r="E146" s="30" t="s">
        <v>692</v>
      </c>
      <c r="F146" s="30" t="s">
        <v>23</v>
      </c>
      <c r="G146" s="30" t="s">
        <v>24</v>
      </c>
      <c r="H146" s="30" t="str">
        <f>IFERROR(VLOOKUP(TRIM(IF(ISNUMBER(FIND(",", B146)),LEFT(B146,FIND(",",B146)-1),B146)),master!A:B,2,FALSE),"Belum ada mapping")
</f>
        <v>Jawa Barat</v>
      </c>
      <c r="I146" s="30">
        <f>IFERROR(__xludf.DUMMYFUNCTION("IF(REGEXMATCH(F146,""Cari Kerja""),1,0)"),1.0)</f>
        <v>1</v>
      </c>
    </row>
    <row r="147">
      <c r="A147" s="11">
        <v>146.0</v>
      </c>
      <c r="B147" s="30" t="s">
        <v>551</v>
      </c>
      <c r="C147" s="30" t="s">
        <v>20</v>
      </c>
      <c r="D147" s="30" t="s">
        <v>69</v>
      </c>
      <c r="E147" s="30" t="s">
        <v>51</v>
      </c>
      <c r="F147" s="30" t="s">
        <v>31</v>
      </c>
      <c r="G147" s="30" t="s">
        <v>24</v>
      </c>
      <c r="H147" s="30" t="str">
        <f>IFERROR(VLOOKUP(TRIM(IF(ISNUMBER(FIND(",", B147)),LEFT(B147,FIND(",",B147)-1),B147)),master!A:B,2,FALSE),"Belum ada mapping")
</f>
        <v>Jawa Barat</v>
      </c>
      <c r="I147" s="30">
        <f>IFERROR(__xludf.DUMMYFUNCTION("IF(REGEXMATCH(F147,""Cari Kerja""),1,0)"),1.0)</f>
        <v>1</v>
      </c>
    </row>
    <row r="148">
      <c r="A148" s="11">
        <v>147.0</v>
      </c>
      <c r="B148" s="30" t="s">
        <v>35</v>
      </c>
      <c r="C148" s="30" t="s">
        <v>20</v>
      </c>
      <c r="D148" s="30" t="s">
        <v>699</v>
      </c>
      <c r="E148" s="30" t="s">
        <v>209</v>
      </c>
      <c r="F148" s="30" t="s">
        <v>130</v>
      </c>
      <c r="G148" s="30" t="s">
        <v>24</v>
      </c>
      <c r="H148" s="30" t="str">
        <f>IFERROR(VLOOKUP(TRIM(IF(ISNUMBER(FIND(",", B148)),LEFT(B148,FIND(",",B148)-1),B148)),master!A:B,2,FALSE),"Belum ada mapping")
</f>
        <v>Jawa Timur</v>
      </c>
      <c r="I148" s="30">
        <f>IFERROR(__xludf.DUMMYFUNCTION("IF(REGEXMATCH(F148,""Cari Kerja""),1,0)"),1.0)</f>
        <v>1</v>
      </c>
    </row>
    <row r="149">
      <c r="A149" s="11">
        <v>148.0</v>
      </c>
      <c r="B149" s="30" t="s">
        <v>327</v>
      </c>
      <c r="C149" s="30" t="s">
        <v>49</v>
      </c>
      <c r="D149" s="30" t="s">
        <v>703</v>
      </c>
      <c r="E149" s="30" t="s">
        <v>704</v>
      </c>
      <c r="F149" s="30" t="s">
        <v>31</v>
      </c>
      <c r="G149" s="30" t="s">
        <v>24</v>
      </c>
      <c r="H149" s="30" t="str">
        <f>IFERROR(VLOOKUP(TRIM(IF(ISNUMBER(FIND(",", B149)),LEFT(B149,FIND(",",B149)-1),B149)),master!A:B,2,FALSE),"Belum ada mapping")
</f>
        <v>Jakarta</v>
      </c>
      <c r="I149" s="30">
        <f>IFERROR(__xludf.DUMMYFUNCTION("IF(REGEXMATCH(F149,""Cari Kerja""),1,0)"),1.0)</f>
        <v>1</v>
      </c>
    </row>
    <row r="150">
      <c r="A150" s="11">
        <v>149.0</v>
      </c>
      <c r="B150" s="30" t="s">
        <v>74</v>
      </c>
      <c r="C150" s="30" t="s">
        <v>20</v>
      </c>
      <c r="D150" s="30" t="s">
        <v>708</v>
      </c>
      <c r="E150" s="30" t="s">
        <v>709</v>
      </c>
      <c r="F150" s="30" t="s">
        <v>59</v>
      </c>
      <c r="G150" s="30" t="s">
        <v>24</v>
      </c>
      <c r="H150" s="30" t="str">
        <f>IFERROR(VLOOKUP(TRIM(IF(ISNUMBER(FIND(",", B150)),LEFT(B150,FIND(",",B150)-1),B150)),master!A:B,2,FALSE),"Belum ada mapping")
</f>
        <v>Banten</v>
      </c>
      <c r="I150" s="30">
        <f>IFERROR(__xludf.DUMMYFUNCTION("IF(REGEXMATCH(F150,""Cari Kerja""),1,0)"),0.0)</f>
        <v>0</v>
      </c>
    </row>
    <row r="151">
      <c r="A151" s="11">
        <v>150.0</v>
      </c>
      <c r="B151" s="30" t="s">
        <v>97</v>
      </c>
      <c r="C151" s="30" t="s">
        <v>20</v>
      </c>
      <c r="D151" s="30" t="s">
        <v>369</v>
      </c>
      <c r="E151" s="30" t="s">
        <v>51</v>
      </c>
      <c r="F151" s="30" t="s">
        <v>23</v>
      </c>
      <c r="G151" s="30" t="s">
        <v>24</v>
      </c>
      <c r="H151" s="30" t="str">
        <f>IFERROR(VLOOKUP(TRIM(IF(ISNUMBER(FIND(",", B151)),LEFT(B151,FIND(",",B151)-1),B151)),master!A:B,2,FALSE),"Belum ada mapping")
</f>
        <v>Jakarta</v>
      </c>
      <c r="I151" s="30">
        <f>IFERROR(__xludf.DUMMYFUNCTION("IF(REGEXMATCH(F151,""Cari Kerja""),1,0)"),1.0)</f>
        <v>1</v>
      </c>
    </row>
    <row r="152">
      <c r="A152" s="11">
        <v>151.0</v>
      </c>
      <c r="B152" s="30" t="s">
        <v>207</v>
      </c>
      <c r="C152" s="30" t="s">
        <v>49</v>
      </c>
      <c r="D152" s="30" t="s">
        <v>716</v>
      </c>
      <c r="E152" s="30" t="s">
        <v>245</v>
      </c>
      <c r="F152" s="30" t="s">
        <v>52</v>
      </c>
      <c r="G152" s="30" t="s">
        <v>24</v>
      </c>
      <c r="H152" s="30" t="str">
        <f>IFERROR(VLOOKUP(TRIM(IF(ISNUMBER(FIND(",", B152)),LEFT(B152,FIND(",",B152)-1),B152)),master!A:B,2,FALSE),"Belum ada mapping")
</f>
        <v>Jakarta</v>
      </c>
      <c r="I152" s="30">
        <f>IFERROR(__xludf.DUMMYFUNCTION("IF(REGEXMATCH(F152,""Cari Kerja""),1,0)"),0.0)</f>
        <v>0</v>
      </c>
    </row>
    <row r="153">
      <c r="A153" s="11">
        <v>152.0</v>
      </c>
      <c r="B153" s="30" t="s">
        <v>551</v>
      </c>
      <c r="C153" s="30" t="s">
        <v>49</v>
      </c>
      <c r="D153" s="30" t="s">
        <v>720</v>
      </c>
      <c r="E153" s="30" t="s">
        <v>51</v>
      </c>
      <c r="F153" s="30" t="s">
        <v>23</v>
      </c>
      <c r="G153" s="30" t="s">
        <v>38</v>
      </c>
      <c r="H153" s="30" t="str">
        <f>IFERROR(VLOOKUP(TRIM(IF(ISNUMBER(FIND(",", B153)),LEFT(B153,FIND(",",B153)-1),B153)),master!A:B,2,FALSE),"Belum ada mapping")
</f>
        <v>Jawa Barat</v>
      </c>
      <c r="I153" s="30">
        <f>IFERROR(__xludf.DUMMYFUNCTION("IF(REGEXMATCH(F153,""Cari Kerja""),1,0)"),1.0)</f>
        <v>1</v>
      </c>
    </row>
    <row r="154">
      <c r="A154" s="11">
        <v>153.0</v>
      </c>
      <c r="B154" s="30" t="s">
        <v>724</v>
      </c>
      <c r="C154" s="30" t="s">
        <v>20</v>
      </c>
      <c r="D154" s="30" t="s">
        <v>725</v>
      </c>
      <c r="E154" s="30" t="s">
        <v>51</v>
      </c>
      <c r="F154" s="30" t="s">
        <v>23</v>
      </c>
      <c r="G154" s="30" t="s">
        <v>38</v>
      </c>
      <c r="H154" s="30" t="str">
        <f>IFERROR(VLOOKUP(TRIM(IF(ISNUMBER(FIND(",", B154)),LEFT(B154,FIND(",",B154)-1),B154)),master!A:B,2,FALSE),"Belum ada mapping")
</f>
        <v>Jawa Timur</v>
      </c>
      <c r="I154" s="30">
        <f>IFERROR(__xludf.DUMMYFUNCTION("IF(REGEXMATCH(F154,""Cari Kerja""),1,0)"),1.0)</f>
        <v>1</v>
      </c>
    </row>
    <row r="155">
      <c r="A155" s="11">
        <v>154.0</v>
      </c>
      <c r="B155" s="30" t="s">
        <v>729</v>
      </c>
      <c r="C155" s="30" t="s">
        <v>20</v>
      </c>
      <c r="D155" s="30" t="s">
        <v>69</v>
      </c>
      <c r="E155" s="30" t="s">
        <v>176</v>
      </c>
      <c r="F155" s="30" t="s">
        <v>13</v>
      </c>
      <c r="G155" s="30" t="s">
        <v>24</v>
      </c>
      <c r="H155" s="30" t="str">
        <f>IFERROR(VLOOKUP(TRIM(IF(ISNUMBER(FIND(",", B155)),LEFT(B155,FIND(",",B155)-1),B155)),master!A:B,2,FALSE),"Belum ada mapping")
</f>
        <v>Jawa Barat</v>
      </c>
      <c r="I155" s="30">
        <f>IFERROR(__xludf.DUMMYFUNCTION("IF(REGEXMATCH(F155,""Cari Kerja""),1,0)"),0.0)</f>
        <v>0</v>
      </c>
    </row>
    <row r="156">
      <c r="A156" s="11">
        <v>155.0</v>
      </c>
      <c r="B156" s="30" t="s">
        <v>113</v>
      </c>
      <c r="C156" s="30" t="s">
        <v>20</v>
      </c>
      <c r="D156" s="30" t="s">
        <v>733</v>
      </c>
      <c r="E156" s="30" t="s">
        <v>463</v>
      </c>
      <c r="F156" s="30" t="s">
        <v>23</v>
      </c>
      <c r="G156" s="30" t="s">
        <v>24</v>
      </c>
      <c r="H156" s="30" t="str">
        <f>IFERROR(VLOOKUP(TRIM(IF(ISNUMBER(FIND(",", B156)),LEFT(B156,FIND(",",B156)-1),B156)),master!A:B,2,FALSE),"Belum ada mapping")
</f>
        <v>Sumatera Utara</v>
      </c>
      <c r="I156" s="30">
        <f>IFERROR(__xludf.DUMMYFUNCTION("IF(REGEXMATCH(F156,""Cari Kerja""),1,0)"),1.0)</f>
        <v>1</v>
      </c>
    </row>
    <row r="157">
      <c r="A157" s="11">
        <v>156.0</v>
      </c>
      <c r="B157" s="30" t="s">
        <v>457</v>
      </c>
      <c r="C157" s="30" t="s">
        <v>20</v>
      </c>
      <c r="D157" s="30" t="s">
        <v>737</v>
      </c>
      <c r="E157" s="30" t="s">
        <v>738</v>
      </c>
      <c r="F157" s="30" t="s">
        <v>23</v>
      </c>
      <c r="G157" s="30" t="s">
        <v>24</v>
      </c>
      <c r="H157" s="30" t="str">
        <f>IFERROR(VLOOKUP(TRIM(IF(ISNUMBER(FIND(",", B157)),LEFT(B157,FIND(",",B157)-1),B157)),master!A:B,2,FALSE),"Belum ada mapping")
</f>
        <v>Lampung</v>
      </c>
      <c r="I157" s="30">
        <f>IFERROR(__xludf.DUMMYFUNCTION("IF(REGEXMATCH(F157,""Cari Kerja""),1,0)"),1.0)</f>
        <v>1</v>
      </c>
    </row>
    <row r="158">
      <c r="A158" s="11">
        <v>157.0</v>
      </c>
      <c r="B158" s="30" t="s">
        <v>309</v>
      </c>
      <c r="C158" s="30" t="s">
        <v>20</v>
      </c>
      <c r="D158" s="30" t="s">
        <v>742</v>
      </c>
      <c r="E158" s="30" t="s">
        <v>136</v>
      </c>
      <c r="F158" s="30" t="s">
        <v>453</v>
      </c>
      <c r="G158" s="30" t="s">
        <v>24</v>
      </c>
      <c r="H158" s="30" t="str">
        <f>IFERROR(VLOOKUP(TRIM(IF(ISNUMBER(FIND(",", B158)),LEFT(B158,FIND(",",B158)-1),B158)),master!A:B,2,FALSE),"Belum ada mapping")
</f>
        <v>Jawa Timur</v>
      </c>
      <c r="I158" s="30">
        <f>IFERROR(__xludf.DUMMYFUNCTION("IF(REGEXMATCH(F158,""Cari Kerja""),1,0)"),1.0)</f>
        <v>1</v>
      </c>
    </row>
    <row r="159">
      <c r="A159" s="11">
        <v>158.0</v>
      </c>
      <c r="B159" s="30" t="s">
        <v>551</v>
      </c>
      <c r="C159" s="30" t="s">
        <v>49</v>
      </c>
      <c r="D159" s="30" t="s">
        <v>746</v>
      </c>
      <c r="E159" s="30" t="s">
        <v>198</v>
      </c>
      <c r="F159" s="30" t="s">
        <v>52</v>
      </c>
      <c r="G159" s="30" t="s">
        <v>24</v>
      </c>
      <c r="H159" s="30" t="str">
        <f>IFERROR(VLOOKUP(TRIM(IF(ISNUMBER(FIND(",", B159)),LEFT(B159,FIND(",",B159)-1),B159)),master!A:B,2,FALSE),"Belum ada mapping")
</f>
        <v>Jawa Barat</v>
      </c>
      <c r="I159" s="30">
        <f>IFERROR(__xludf.DUMMYFUNCTION("IF(REGEXMATCH(F159,""Cari Kerja""),1,0)"),0.0)</f>
        <v>0</v>
      </c>
    </row>
    <row r="160">
      <c r="A160" s="11">
        <v>159.0</v>
      </c>
      <c r="B160" s="30" t="s">
        <v>134</v>
      </c>
      <c r="C160" s="30" t="s">
        <v>20</v>
      </c>
      <c r="D160" s="30" t="s">
        <v>267</v>
      </c>
      <c r="E160" s="30" t="s">
        <v>301</v>
      </c>
      <c r="F160" s="30" t="s">
        <v>13</v>
      </c>
      <c r="G160" s="30" t="s">
        <v>24</v>
      </c>
      <c r="H160" s="30" t="str">
        <f>IFERROR(VLOOKUP(TRIM(IF(ISNUMBER(FIND(",", B160)),LEFT(B160,FIND(",",B160)-1),B160)),master!A:B,2,FALSE),"Belum ada mapping")
</f>
        <v>Jawa Barat</v>
      </c>
      <c r="I160" s="30">
        <f>IFERROR(__xludf.DUMMYFUNCTION("IF(REGEXMATCH(F160,""Cari Kerja""),1,0)"),0.0)</f>
        <v>0</v>
      </c>
    </row>
    <row r="161">
      <c r="A161" s="11">
        <v>160.0</v>
      </c>
      <c r="B161" s="30" t="s">
        <v>551</v>
      </c>
      <c r="C161" s="30" t="s">
        <v>49</v>
      </c>
      <c r="D161" s="30" t="s">
        <v>753</v>
      </c>
      <c r="E161" s="30" t="s">
        <v>209</v>
      </c>
      <c r="F161" s="30" t="s">
        <v>23</v>
      </c>
      <c r="G161" s="30" t="s">
        <v>24</v>
      </c>
      <c r="H161" s="30" t="str">
        <f>IFERROR(VLOOKUP(TRIM(IF(ISNUMBER(FIND(",", B161)),LEFT(B161,FIND(",",B161)-1),B161)),master!A:B,2,FALSE),"Belum ada mapping")
</f>
        <v>Jawa Barat</v>
      </c>
      <c r="I161" s="30">
        <f>IFERROR(__xludf.DUMMYFUNCTION("IF(REGEXMATCH(F161,""Cari Kerja""),1,0)"),1.0)</f>
        <v>1</v>
      </c>
    </row>
    <row r="162">
      <c r="A162" s="11">
        <v>161.0</v>
      </c>
      <c r="B162" s="30" t="s">
        <v>207</v>
      </c>
      <c r="C162" s="30" t="s">
        <v>49</v>
      </c>
      <c r="D162" s="30" t="s">
        <v>757</v>
      </c>
      <c r="E162" s="30" t="s">
        <v>51</v>
      </c>
      <c r="F162" s="30" t="s">
        <v>31</v>
      </c>
      <c r="G162" s="30" t="s">
        <v>24</v>
      </c>
      <c r="H162" s="30" t="str">
        <f>IFERROR(VLOOKUP(TRIM(IF(ISNUMBER(FIND(",", B162)),LEFT(B162,FIND(",",B162)-1),B162)),master!A:B,2,FALSE),"Belum ada mapping")
</f>
        <v>Jakarta</v>
      </c>
      <c r="I162" s="30">
        <f>IFERROR(__xludf.DUMMYFUNCTION("IF(REGEXMATCH(F162,""Cari Kerja""),1,0)"),1.0)</f>
        <v>1</v>
      </c>
    </row>
    <row r="163">
      <c r="A163" s="11">
        <v>162.0</v>
      </c>
      <c r="B163" s="30" t="s">
        <v>551</v>
      </c>
      <c r="C163" s="30" t="s">
        <v>49</v>
      </c>
      <c r="D163" s="30" t="s">
        <v>21</v>
      </c>
      <c r="E163" s="30" t="s">
        <v>44</v>
      </c>
      <c r="F163" s="30" t="s">
        <v>109</v>
      </c>
      <c r="G163" s="30" t="s">
        <v>24</v>
      </c>
      <c r="H163" s="30" t="str">
        <f>IFERROR(VLOOKUP(TRIM(IF(ISNUMBER(FIND(",", B163)),LEFT(B163,FIND(",",B163)-1),B163)),master!A:B,2,FALSE),"Belum ada mapping")
</f>
        <v>Jawa Barat</v>
      </c>
      <c r="I163" s="30">
        <f>IFERROR(__xludf.DUMMYFUNCTION("IF(REGEXMATCH(F163,""Cari Kerja""),1,0)"),1.0)</f>
        <v>1</v>
      </c>
    </row>
    <row r="164">
      <c r="A164" s="11">
        <v>163.0</v>
      </c>
      <c r="B164" s="30" t="s">
        <v>414</v>
      </c>
      <c r="C164" s="30" t="s">
        <v>49</v>
      </c>
      <c r="D164" s="30" t="s">
        <v>369</v>
      </c>
      <c r="E164" s="30" t="s">
        <v>51</v>
      </c>
      <c r="F164" s="30" t="s">
        <v>59</v>
      </c>
      <c r="G164" s="30" t="s">
        <v>24</v>
      </c>
      <c r="H164" s="30" t="str">
        <f>IFERROR(VLOOKUP(TRIM(IF(ISNUMBER(FIND(",", B164)),LEFT(B164,FIND(",",B164)-1),B164)),master!A:B,2,FALSE),"Belum ada mapping")
</f>
        <v>DI Yogyakarta</v>
      </c>
      <c r="I164" s="30">
        <f>IFERROR(__xludf.DUMMYFUNCTION("IF(REGEXMATCH(F164,""Cari Kerja""),1,0)"),0.0)</f>
        <v>0</v>
      </c>
    </row>
    <row r="165">
      <c r="A165" s="11">
        <v>164.0</v>
      </c>
      <c r="B165" s="30" t="s">
        <v>92</v>
      </c>
      <c r="C165" s="30" t="s">
        <v>49</v>
      </c>
      <c r="D165" s="30" t="s">
        <v>767</v>
      </c>
      <c r="E165" s="30" t="s">
        <v>58</v>
      </c>
      <c r="F165" s="30" t="s">
        <v>59</v>
      </c>
      <c r="G165" s="30" t="s">
        <v>76</v>
      </c>
      <c r="H165" s="30" t="str">
        <f>IFERROR(VLOOKUP(TRIM(IF(ISNUMBER(FIND(",", B165)),LEFT(B165,FIND(",",B165)-1),B165)),master!A:B,2,FALSE),"Belum ada mapping")
</f>
        <v>Jawa Barat</v>
      </c>
      <c r="I165" s="30">
        <f>IFERROR(__xludf.DUMMYFUNCTION("IF(REGEXMATCH(F165,""Cari Kerja""),1,0)"),0.0)</f>
        <v>0</v>
      </c>
    </row>
    <row r="166">
      <c r="A166" s="11">
        <v>165.0</v>
      </c>
      <c r="B166" s="30" t="s">
        <v>551</v>
      </c>
      <c r="C166" s="30" t="s">
        <v>20</v>
      </c>
      <c r="D166" s="30" t="s">
        <v>771</v>
      </c>
      <c r="E166" s="30" t="s">
        <v>187</v>
      </c>
      <c r="F166" s="30" t="s">
        <v>235</v>
      </c>
      <c r="G166" s="30" t="s">
        <v>24</v>
      </c>
      <c r="H166" s="30" t="str">
        <f>IFERROR(VLOOKUP(TRIM(IF(ISNUMBER(FIND(",", B166)),LEFT(B166,FIND(",",B166)-1),B166)),master!A:B,2,FALSE),"Belum ada mapping")
</f>
        <v>Jawa Barat</v>
      </c>
      <c r="I166" s="30">
        <f>IFERROR(__xludf.DUMMYFUNCTION("IF(REGEXMATCH(F166,""Cari Kerja""),1,0)"),1.0)</f>
        <v>1</v>
      </c>
    </row>
    <row r="167">
      <c r="A167" s="11">
        <v>166.0</v>
      </c>
      <c r="B167" s="30" t="s">
        <v>775</v>
      </c>
      <c r="C167" s="30" t="s">
        <v>49</v>
      </c>
      <c r="D167" s="30" t="s">
        <v>776</v>
      </c>
      <c r="E167" s="30" t="s">
        <v>513</v>
      </c>
      <c r="F167" s="30" t="s">
        <v>52</v>
      </c>
      <c r="G167" s="30" t="s">
        <v>76</v>
      </c>
      <c r="H167" s="30" t="str">
        <f>IFERROR(VLOOKUP(TRIM(IF(ISNUMBER(FIND(",", B167)),LEFT(B167,FIND(",",B167)-1),B167)),master!A:B,2,FALSE),"Belum ada mapping")
</f>
        <v>Jakarta</v>
      </c>
      <c r="I167" s="30">
        <f>IFERROR(__xludf.DUMMYFUNCTION("IF(REGEXMATCH(F167,""Cari Kerja""),1,0)"),0.0)</f>
        <v>0</v>
      </c>
    </row>
    <row r="168">
      <c r="A168" s="11">
        <v>167.0</v>
      </c>
      <c r="B168" s="30" t="s">
        <v>35</v>
      </c>
      <c r="C168" s="30" t="s">
        <v>20</v>
      </c>
      <c r="D168" s="30" t="s">
        <v>780</v>
      </c>
      <c r="E168" s="30" t="s">
        <v>781</v>
      </c>
      <c r="F168" s="30" t="s">
        <v>23</v>
      </c>
      <c r="G168" s="30" t="s">
        <v>24</v>
      </c>
      <c r="H168" s="30" t="str">
        <f>IFERROR(VLOOKUP(TRIM(IF(ISNUMBER(FIND(",", B168)),LEFT(B168,FIND(",",B168)-1),B168)),master!A:B,2,FALSE),"Belum ada mapping")
</f>
        <v>Jawa Timur</v>
      </c>
      <c r="I168" s="30">
        <f>IFERROR(__xludf.DUMMYFUNCTION("IF(REGEXMATCH(F168,""Cari Kerja""),1,0)"),1.0)</f>
        <v>1</v>
      </c>
    </row>
    <row r="169">
      <c r="A169" s="11">
        <v>168.0</v>
      </c>
      <c r="B169" s="30" t="s">
        <v>551</v>
      </c>
      <c r="C169" s="30" t="s">
        <v>20</v>
      </c>
      <c r="D169" s="30" t="s">
        <v>785</v>
      </c>
      <c r="E169" s="30" t="s">
        <v>51</v>
      </c>
      <c r="F169" s="30" t="s">
        <v>23</v>
      </c>
      <c r="G169" s="30" t="s">
        <v>76</v>
      </c>
      <c r="H169" s="30" t="str">
        <f>IFERROR(VLOOKUP(TRIM(IF(ISNUMBER(FIND(",", B169)),LEFT(B169,FIND(",",B169)-1),B169)),master!A:B,2,FALSE),"Belum ada mapping")
</f>
        <v>Jawa Barat</v>
      </c>
      <c r="I169" s="30">
        <f>IFERROR(__xludf.DUMMYFUNCTION("IF(REGEXMATCH(F169,""Cari Kerja""),1,0)"),1.0)</f>
        <v>1</v>
      </c>
    </row>
    <row r="170">
      <c r="A170" s="11">
        <v>169.0</v>
      </c>
      <c r="B170" s="30" t="s">
        <v>86</v>
      </c>
      <c r="C170" s="30" t="s">
        <v>20</v>
      </c>
      <c r="D170" s="30" t="s">
        <v>69</v>
      </c>
      <c r="E170" s="30" t="s">
        <v>37</v>
      </c>
      <c r="F170" s="30" t="s">
        <v>23</v>
      </c>
      <c r="G170" s="30" t="s">
        <v>24</v>
      </c>
      <c r="H170" s="30" t="str">
        <f>IFERROR(VLOOKUP(TRIM(IF(ISNUMBER(FIND(",", B170)),LEFT(B170,FIND(",",B170)-1),B170)),master!A:B,2,FALSE),"Belum ada mapping")
</f>
        <v>Jawa Tengah</v>
      </c>
      <c r="I170" s="30">
        <f>IFERROR(__xludf.DUMMYFUNCTION("IF(REGEXMATCH(F170,""Cari Kerja""),1,0)"),1.0)</f>
        <v>1</v>
      </c>
    </row>
    <row r="171">
      <c r="A171" s="11">
        <v>170.0</v>
      </c>
      <c r="B171" s="30" t="s">
        <v>484</v>
      </c>
      <c r="C171" s="30" t="s">
        <v>20</v>
      </c>
      <c r="D171" s="30" t="s">
        <v>69</v>
      </c>
      <c r="E171" s="30" t="s">
        <v>51</v>
      </c>
      <c r="F171" s="30" t="s">
        <v>23</v>
      </c>
      <c r="G171" s="30" t="s">
        <v>24</v>
      </c>
      <c r="H171" s="30" t="str">
        <f>IFERROR(VLOOKUP(TRIM(IF(ISNUMBER(FIND(",", B171)),LEFT(B171,FIND(",",B171)-1),B171)),master!A:B,2,FALSE),"Belum ada mapping")
</f>
        <v>Jawa Tengah</v>
      </c>
      <c r="I171" s="30">
        <f>IFERROR(__xludf.DUMMYFUNCTION("IF(REGEXMATCH(F171,""Cari Kerja""),1,0)"),1.0)</f>
        <v>1</v>
      </c>
    </row>
    <row r="172">
      <c r="A172" s="11">
        <v>171.0</v>
      </c>
      <c r="B172" s="30" t="s">
        <v>795</v>
      </c>
      <c r="C172" s="30" t="s">
        <v>20</v>
      </c>
      <c r="D172" s="30" t="s">
        <v>796</v>
      </c>
      <c r="E172" s="30" t="s">
        <v>51</v>
      </c>
      <c r="F172" s="30" t="s">
        <v>31</v>
      </c>
      <c r="G172" s="30" t="s">
        <v>38</v>
      </c>
      <c r="H172" s="30" t="str">
        <f>IFERROR(VLOOKUP(TRIM(IF(ISNUMBER(FIND(",", B172)),LEFT(B172,FIND(",",B172)-1),B172)),master!A:B,2,FALSE),"Belum ada mapping")
</f>
        <v>Jakarta</v>
      </c>
      <c r="I172" s="30">
        <f>IFERROR(__xludf.DUMMYFUNCTION("IF(REGEXMATCH(F172,""Cari Kerja""),1,0)"),1.0)</f>
        <v>1</v>
      </c>
    </row>
    <row r="173">
      <c r="A173" s="11">
        <v>172.0</v>
      </c>
      <c r="B173" s="30" t="s">
        <v>207</v>
      </c>
      <c r="C173" s="30" t="s">
        <v>49</v>
      </c>
      <c r="D173" s="30" t="s">
        <v>800</v>
      </c>
      <c r="E173" s="30" t="s">
        <v>51</v>
      </c>
      <c r="F173" s="30" t="s">
        <v>14</v>
      </c>
      <c r="G173" s="30" t="s">
        <v>24</v>
      </c>
      <c r="H173" s="30" t="str">
        <f>IFERROR(VLOOKUP(TRIM(IF(ISNUMBER(FIND(",", B173)),LEFT(B173,FIND(",",B173)-1),B173)),master!A:B,2,FALSE),"Belum ada mapping")
</f>
        <v>Jakarta</v>
      </c>
      <c r="I173" s="30">
        <f>IFERROR(__xludf.DUMMYFUNCTION("IF(REGEXMATCH(F173,""Cari Kerja""),1,0)"),0.0)</f>
        <v>0</v>
      </c>
    </row>
    <row r="174">
      <c r="A174" s="11">
        <v>173.0</v>
      </c>
      <c r="B174" s="30" t="s">
        <v>804</v>
      </c>
      <c r="C174" s="30" t="s">
        <v>20</v>
      </c>
      <c r="D174" s="30" t="s">
        <v>805</v>
      </c>
      <c r="E174" s="30" t="s">
        <v>37</v>
      </c>
      <c r="F174" s="30" t="s">
        <v>12</v>
      </c>
      <c r="G174" s="30" t="s">
        <v>24</v>
      </c>
      <c r="H174" s="30" t="str">
        <f>IFERROR(VLOOKUP(TRIM(IF(ISNUMBER(FIND(",", B174)),LEFT(B174,FIND(",",B174)-1),B174)),master!A:B,2,FALSE),"Belum ada mapping")
</f>
        <v>Jawa Tengah</v>
      </c>
      <c r="I174" s="30">
        <f>IFERROR(__xludf.DUMMYFUNCTION("IF(REGEXMATCH(F174,""Cari Kerja""),1,0)"),1.0)</f>
        <v>1</v>
      </c>
    </row>
    <row r="175">
      <c r="A175" s="11">
        <v>174.0</v>
      </c>
      <c r="B175" s="30" t="s">
        <v>809</v>
      </c>
      <c r="C175" s="30" t="s">
        <v>20</v>
      </c>
      <c r="D175" s="30" t="s">
        <v>150</v>
      </c>
      <c r="E175" s="30" t="s">
        <v>51</v>
      </c>
      <c r="F175" s="30" t="s">
        <v>31</v>
      </c>
      <c r="G175" s="30" t="s">
        <v>38</v>
      </c>
      <c r="H175" s="30" t="str">
        <f>IFERROR(VLOOKUP(TRIM(IF(ISNUMBER(FIND(",", B175)),LEFT(B175,FIND(",",B175)-1),B175)),master!A:B,2,FALSE),"Belum ada mapping")
</f>
        <v>Sumatera Utara</v>
      </c>
      <c r="I175" s="30">
        <f>IFERROR(__xludf.DUMMYFUNCTION("IF(REGEXMATCH(F175,""Cari Kerja""),1,0)"),1.0)</f>
        <v>1</v>
      </c>
    </row>
    <row r="176">
      <c r="A176" s="11">
        <v>175.0</v>
      </c>
      <c r="B176" s="30" t="s">
        <v>207</v>
      </c>
      <c r="C176" s="30" t="s">
        <v>49</v>
      </c>
      <c r="D176" s="30" t="s">
        <v>813</v>
      </c>
      <c r="E176" s="30" t="s">
        <v>51</v>
      </c>
      <c r="F176" s="30" t="s">
        <v>52</v>
      </c>
      <c r="G176" s="30" t="s">
        <v>76</v>
      </c>
      <c r="H176" s="30" t="str">
        <f>IFERROR(VLOOKUP(TRIM(IF(ISNUMBER(FIND(",", B176)),LEFT(B176,FIND(",",B176)-1),B176)),master!A:B,2,FALSE),"Belum ada mapping")
</f>
        <v>Jakarta</v>
      </c>
      <c r="I176" s="30">
        <f>IFERROR(__xludf.DUMMYFUNCTION("IF(REGEXMATCH(F176,""Cari Kerja""),1,0)"),0.0)</f>
        <v>0</v>
      </c>
    </row>
    <row r="177">
      <c r="A177" s="11">
        <v>176.0</v>
      </c>
      <c r="B177" s="30" t="s">
        <v>817</v>
      </c>
      <c r="C177" s="30" t="s">
        <v>49</v>
      </c>
      <c r="D177" s="30" t="s">
        <v>818</v>
      </c>
      <c r="E177" s="30" t="s">
        <v>704</v>
      </c>
      <c r="F177" s="30" t="s">
        <v>13</v>
      </c>
      <c r="G177" s="30" t="s">
        <v>24</v>
      </c>
      <c r="H177" s="30" t="str">
        <f>IFERROR(VLOOKUP(TRIM(IF(ISNUMBER(FIND(",", B177)),LEFT(B177,FIND(",",B177)-1),B177)),master!A:B,2,FALSE),"Belum ada mapping")
</f>
        <v>Kalimantan Timur</v>
      </c>
      <c r="I177" s="30">
        <f>IFERROR(__xludf.DUMMYFUNCTION("IF(REGEXMATCH(F177,""Cari Kerja""),1,0)"),0.0)</f>
        <v>0</v>
      </c>
    </row>
    <row r="178">
      <c r="A178" s="11">
        <v>177.0</v>
      </c>
      <c r="B178" s="30" t="s">
        <v>443</v>
      </c>
      <c r="C178" s="30" t="s">
        <v>49</v>
      </c>
      <c r="D178" s="30" t="s">
        <v>69</v>
      </c>
      <c r="E178" s="30" t="s">
        <v>51</v>
      </c>
      <c r="F178" s="30" t="s">
        <v>15</v>
      </c>
      <c r="G178" s="30" t="s">
        <v>24</v>
      </c>
      <c r="H178" s="30" t="str">
        <f>IFERROR(VLOOKUP(TRIM(IF(ISNUMBER(FIND(",", B178)),LEFT(B178,FIND(",",B178)-1),B178)),master!A:B,2,FALSE),"Belum ada mapping")
</f>
        <v>Jawa Tengah</v>
      </c>
      <c r="I178" s="30">
        <f>IFERROR(__xludf.DUMMYFUNCTION("IF(REGEXMATCH(F178,""Cari Kerja""),1,0)"),0.0)</f>
        <v>0</v>
      </c>
    </row>
    <row r="179">
      <c r="A179" s="11">
        <v>178.0</v>
      </c>
      <c r="B179" s="30" t="s">
        <v>825</v>
      </c>
      <c r="C179" s="30" t="s">
        <v>20</v>
      </c>
      <c r="D179" s="30" t="s">
        <v>826</v>
      </c>
      <c r="E179" s="30" t="s">
        <v>153</v>
      </c>
      <c r="F179" s="30" t="s">
        <v>59</v>
      </c>
      <c r="G179" s="30" t="s">
        <v>24</v>
      </c>
      <c r="H179" s="30" t="str">
        <f>IFERROR(VLOOKUP(TRIM(IF(ISNUMBER(FIND(",", B179)),LEFT(B179,FIND(",",B179)-1),B179)),master!A:B,2,FALSE),"Belum ada mapping")
</f>
        <v>Jawa Barat</v>
      </c>
      <c r="I179" s="30">
        <f>IFERROR(__xludf.DUMMYFUNCTION("IF(REGEXMATCH(F179,""Cari Kerja""),1,0)"),0.0)</f>
        <v>0</v>
      </c>
    </row>
    <row r="180">
      <c r="A180" s="11">
        <v>179.0</v>
      </c>
      <c r="B180" s="30" t="s">
        <v>42</v>
      </c>
      <c r="C180" s="30" t="s">
        <v>49</v>
      </c>
      <c r="D180" s="30" t="s">
        <v>69</v>
      </c>
      <c r="E180" s="30" t="s">
        <v>51</v>
      </c>
      <c r="F180" s="30" t="s">
        <v>23</v>
      </c>
      <c r="G180" s="30" t="s">
        <v>24</v>
      </c>
      <c r="H180" s="30" t="str">
        <f>IFERROR(VLOOKUP(TRIM(IF(ISNUMBER(FIND(",", B180)),LEFT(B180,FIND(",",B180)-1),B180)),master!A:B,2,FALSE),"Belum ada mapping")
</f>
        <v>Jawa Barat</v>
      </c>
      <c r="I180" s="30">
        <f>IFERROR(__xludf.DUMMYFUNCTION("IF(REGEXMATCH(F180,""Cari Kerja""),1,0)"),1.0)</f>
        <v>1</v>
      </c>
    </row>
    <row r="181">
      <c r="A181" s="11">
        <v>180.0</v>
      </c>
      <c r="B181" s="30" t="s">
        <v>833</v>
      </c>
      <c r="C181" s="30" t="s">
        <v>20</v>
      </c>
      <c r="D181" s="30" t="s">
        <v>21</v>
      </c>
      <c r="E181" s="30" t="s">
        <v>82</v>
      </c>
      <c r="F181" s="30" t="s">
        <v>59</v>
      </c>
      <c r="G181" s="30" t="s">
        <v>24</v>
      </c>
      <c r="H181" s="30" t="str">
        <f>IFERROR(VLOOKUP(TRIM(IF(ISNUMBER(FIND(",", B181)),LEFT(B181,FIND(",",B181)-1),B181)),master!A:B,2,FALSE),"Belum ada mapping")
</f>
        <v>Bangka  Belitung</v>
      </c>
      <c r="I181" s="30">
        <f>IFERROR(__xludf.DUMMYFUNCTION("IF(REGEXMATCH(F181,""Cari Kerja""),1,0)"),0.0)</f>
        <v>0</v>
      </c>
    </row>
    <row r="182">
      <c r="A182" s="11">
        <v>181.0</v>
      </c>
      <c r="B182" s="30" t="s">
        <v>837</v>
      </c>
      <c r="C182" s="30" t="s">
        <v>20</v>
      </c>
      <c r="D182" s="30" t="s">
        <v>69</v>
      </c>
      <c r="E182" s="30" t="s">
        <v>136</v>
      </c>
      <c r="F182" s="30" t="s">
        <v>130</v>
      </c>
      <c r="G182" s="30" t="s">
        <v>24</v>
      </c>
      <c r="H182" s="30" t="str">
        <f>IFERROR(VLOOKUP(TRIM(IF(ISNUMBER(FIND(",", B182)),LEFT(B182,FIND(",",B182)-1),B182)),master!A:B,2,FALSE),"Belum ada mapping")
</f>
        <v>Jawa Barat</v>
      </c>
      <c r="I182" s="30">
        <f>IFERROR(__xludf.DUMMYFUNCTION("IF(REGEXMATCH(F182,""Cari Kerja""),1,0)"),1.0)</f>
        <v>1</v>
      </c>
    </row>
    <row r="183">
      <c r="A183" s="11">
        <v>182.0</v>
      </c>
      <c r="B183" s="30" t="s">
        <v>35</v>
      </c>
      <c r="C183" s="30" t="s">
        <v>20</v>
      </c>
      <c r="D183" s="30" t="s">
        <v>841</v>
      </c>
      <c r="E183" s="30" t="s">
        <v>82</v>
      </c>
      <c r="F183" s="30" t="s">
        <v>23</v>
      </c>
      <c r="G183" s="30" t="s">
        <v>38</v>
      </c>
      <c r="H183" s="30" t="str">
        <f>IFERROR(VLOOKUP(TRIM(IF(ISNUMBER(FIND(",", B183)),LEFT(B183,FIND(",",B183)-1),B183)),master!A:B,2,FALSE),"Belum ada mapping")
</f>
        <v>Jawa Timur</v>
      </c>
      <c r="I183" s="30">
        <f>IFERROR(__xludf.DUMMYFUNCTION("IF(REGEXMATCH(F183,""Cari Kerja""),1,0)"),1.0)</f>
        <v>1</v>
      </c>
    </row>
    <row r="184">
      <c r="A184" s="11">
        <v>183.0</v>
      </c>
      <c r="B184" s="30" t="s">
        <v>565</v>
      </c>
      <c r="C184" s="30" t="s">
        <v>20</v>
      </c>
      <c r="D184" s="30" t="s">
        <v>845</v>
      </c>
      <c r="E184" s="30" t="s">
        <v>846</v>
      </c>
      <c r="F184" s="30" t="s">
        <v>31</v>
      </c>
      <c r="G184" s="30" t="s">
        <v>76</v>
      </c>
      <c r="H184" s="30" t="str">
        <f>IFERROR(VLOOKUP(TRIM(IF(ISNUMBER(FIND(",", B184)),LEFT(B184,FIND(",",B184)-1),B184)),master!A:B,2,FALSE),"Belum ada mapping")
</f>
        <v>Riau</v>
      </c>
      <c r="I184" s="30">
        <f>IFERROR(__xludf.DUMMYFUNCTION("IF(REGEXMATCH(F184,""Cari Kerja""),1,0)"),1.0)</f>
        <v>1</v>
      </c>
    </row>
    <row r="185">
      <c r="A185" s="11">
        <v>184.0</v>
      </c>
      <c r="B185" s="30" t="s">
        <v>92</v>
      </c>
      <c r="C185" s="30" t="s">
        <v>20</v>
      </c>
      <c r="D185" s="30" t="s">
        <v>69</v>
      </c>
      <c r="E185" s="30" t="s">
        <v>51</v>
      </c>
      <c r="F185" s="30" t="s">
        <v>12</v>
      </c>
      <c r="G185" s="30" t="s">
        <v>76</v>
      </c>
      <c r="H185" s="30" t="str">
        <f>IFERROR(VLOOKUP(TRIM(IF(ISNUMBER(FIND(",", B185)),LEFT(B185,FIND(",",B185)-1),B185)),master!A:B,2,FALSE),"Belum ada mapping")
</f>
        <v>Jawa Barat</v>
      </c>
      <c r="I185" s="30">
        <f>IFERROR(__xludf.DUMMYFUNCTION("IF(REGEXMATCH(F185,""Cari Kerja""),1,0)"),1.0)</f>
        <v>1</v>
      </c>
    </row>
    <row r="186">
      <c r="A186" s="11">
        <v>185.0</v>
      </c>
      <c r="B186" s="30" t="s">
        <v>42</v>
      </c>
      <c r="C186" s="30" t="s">
        <v>20</v>
      </c>
      <c r="D186" s="30" t="s">
        <v>853</v>
      </c>
      <c r="E186" s="30" t="s">
        <v>854</v>
      </c>
      <c r="F186" s="30" t="s">
        <v>130</v>
      </c>
      <c r="G186" s="30" t="s">
        <v>24</v>
      </c>
      <c r="H186" s="30" t="str">
        <f>IFERROR(VLOOKUP(TRIM(IF(ISNUMBER(FIND(",", B186)),LEFT(B186,FIND(",",B186)-1),B186)),master!A:B,2,FALSE),"Belum ada mapping")
</f>
        <v>Jawa Barat</v>
      </c>
      <c r="I186" s="30">
        <f>IFERROR(__xludf.DUMMYFUNCTION("IF(REGEXMATCH(F186,""Cari Kerja""),1,0)"),1.0)</f>
        <v>1</v>
      </c>
    </row>
    <row r="187">
      <c r="A187" s="11">
        <v>186.0</v>
      </c>
      <c r="B187" s="30" t="s">
        <v>92</v>
      </c>
      <c r="C187" s="30" t="s">
        <v>20</v>
      </c>
      <c r="D187" s="30" t="s">
        <v>858</v>
      </c>
      <c r="E187" s="30" t="s">
        <v>51</v>
      </c>
      <c r="F187" s="30" t="s">
        <v>23</v>
      </c>
      <c r="G187" s="30" t="s">
        <v>24</v>
      </c>
      <c r="H187" s="30" t="str">
        <f>IFERROR(VLOOKUP(TRIM(IF(ISNUMBER(FIND(",", B187)),LEFT(B187,FIND(",",B187)-1),B187)),master!A:B,2,FALSE),"Belum ada mapping")
</f>
        <v>Jawa Barat</v>
      </c>
      <c r="I187" s="30">
        <f>IFERROR(__xludf.DUMMYFUNCTION("IF(REGEXMATCH(F187,""Cari Kerja""),1,0)"),1.0)</f>
        <v>1</v>
      </c>
    </row>
    <row r="188">
      <c r="A188" s="11">
        <v>187.0</v>
      </c>
      <c r="B188" s="30" t="s">
        <v>207</v>
      </c>
      <c r="C188" s="30" t="s">
        <v>49</v>
      </c>
      <c r="D188" s="30" t="s">
        <v>862</v>
      </c>
      <c r="E188" s="30" t="s">
        <v>863</v>
      </c>
      <c r="F188" s="30" t="s">
        <v>31</v>
      </c>
      <c r="G188" s="30" t="s">
        <v>24</v>
      </c>
      <c r="H188" s="30" t="str">
        <f>IFERROR(VLOOKUP(TRIM(IF(ISNUMBER(FIND(",", B188)),LEFT(B188,FIND(",",B188)-1),B188)),master!A:B,2,FALSE),"Belum ada mapping")
</f>
        <v>Jakarta</v>
      </c>
      <c r="I188" s="30">
        <f>IFERROR(__xludf.DUMMYFUNCTION("IF(REGEXMATCH(F188,""Cari Kerja""),1,0)"),1.0)</f>
        <v>1</v>
      </c>
    </row>
    <row r="189">
      <c r="A189" s="11">
        <v>188.0</v>
      </c>
      <c r="B189" s="30" t="s">
        <v>385</v>
      </c>
      <c r="C189" s="30" t="s">
        <v>49</v>
      </c>
      <c r="D189" s="30" t="s">
        <v>867</v>
      </c>
      <c r="E189" s="30" t="s">
        <v>187</v>
      </c>
      <c r="F189" s="30" t="s">
        <v>52</v>
      </c>
      <c r="G189" s="30" t="s">
        <v>76</v>
      </c>
      <c r="H189" s="30" t="str">
        <f>IFERROR(VLOOKUP(TRIM(IF(ISNUMBER(FIND(",", B189)),LEFT(B189,FIND(",",B189)-1),B189)),master!A:B,2,FALSE),"Belum ada mapping")
</f>
        <v>Kalimantan Timur</v>
      </c>
      <c r="I189" s="30">
        <f>IFERROR(__xludf.DUMMYFUNCTION("IF(REGEXMATCH(F189,""Cari Kerja""),1,0)"),0.0)</f>
        <v>0</v>
      </c>
    </row>
    <row r="190">
      <c r="A190" s="11">
        <v>189.0</v>
      </c>
      <c r="B190" s="30" t="s">
        <v>158</v>
      </c>
      <c r="C190" s="30" t="s">
        <v>49</v>
      </c>
      <c r="D190" s="30" t="s">
        <v>871</v>
      </c>
      <c r="E190" s="30" t="s">
        <v>872</v>
      </c>
      <c r="F190" s="30" t="s">
        <v>154</v>
      </c>
      <c r="G190" s="30" t="s">
        <v>24</v>
      </c>
      <c r="H190" s="30" t="str">
        <f>IFERROR(VLOOKUP(TRIM(IF(ISNUMBER(FIND(",", B190)),LEFT(B190,FIND(",",B190)-1),B190)),master!A:B,2,FALSE),"Belum ada mapping")
</f>
        <v>Jawa Barat</v>
      </c>
      <c r="I190" s="30">
        <f>IFERROR(__xludf.DUMMYFUNCTION("IF(REGEXMATCH(F190,""Cari Kerja""),1,0)"),0.0)</f>
        <v>0</v>
      </c>
    </row>
    <row r="191">
      <c r="A191" s="11">
        <v>190.0</v>
      </c>
      <c r="B191" s="30" t="s">
        <v>596</v>
      </c>
      <c r="C191" s="30" t="s">
        <v>20</v>
      </c>
      <c r="D191" s="30" t="s">
        <v>69</v>
      </c>
      <c r="E191" s="30" t="s">
        <v>209</v>
      </c>
      <c r="F191" s="30" t="s">
        <v>31</v>
      </c>
      <c r="G191" s="30" t="s">
        <v>24</v>
      </c>
      <c r="H191" s="30" t="str">
        <f>IFERROR(VLOOKUP(TRIM(IF(ISNUMBER(FIND(",", B191)),LEFT(B191,FIND(",",B191)-1),B191)),master!A:B,2,FALSE),"Belum ada mapping")
</f>
        <v>Jawa Timur</v>
      </c>
      <c r="I191" s="30">
        <f>IFERROR(__xludf.DUMMYFUNCTION("IF(REGEXMATCH(F191,""Cari Kerja""),1,0)"),1.0)</f>
        <v>1</v>
      </c>
    </row>
    <row r="192">
      <c r="A192" s="11">
        <v>191.0</v>
      </c>
      <c r="B192" s="30" t="s">
        <v>74</v>
      </c>
      <c r="C192" s="30" t="s">
        <v>20</v>
      </c>
      <c r="D192" s="30" t="s">
        <v>879</v>
      </c>
      <c r="E192" s="30" t="s">
        <v>30</v>
      </c>
      <c r="F192" s="30" t="s">
        <v>15</v>
      </c>
      <c r="G192" s="30" t="s">
        <v>24</v>
      </c>
      <c r="H192" s="30" t="str">
        <f>IFERROR(VLOOKUP(TRIM(IF(ISNUMBER(FIND(",", B192)),LEFT(B192,FIND(",",B192)-1),B192)),master!A:B,2,FALSE),"Belum ada mapping")
</f>
        <v>Banten</v>
      </c>
      <c r="I192" s="30">
        <f>IFERROR(__xludf.DUMMYFUNCTION("IF(REGEXMATCH(F192,""Cari Kerja""),1,0)"),0.0)</f>
        <v>0</v>
      </c>
    </row>
    <row r="193">
      <c r="A193" s="11">
        <v>192.0</v>
      </c>
      <c r="B193" s="30" t="s">
        <v>48</v>
      </c>
      <c r="C193" s="30" t="s">
        <v>20</v>
      </c>
      <c r="D193" s="30" t="s">
        <v>883</v>
      </c>
      <c r="E193" s="30" t="s">
        <v>176</v>
      </c>
      <c r="F193" s="30" t="s">
        <v>235</v>
      </c>
      <c r="G193" s="30" t="s">
        <v>76</v>
      </c>
      <c r="H193" s="30" t="str">
        <f>IFERROR(VLOOKUP(TRIM(IF(ISNUMBER(FIND(",", B193)),LEFT(B193,FIND(",",B193)-1),B193)),master!A:B,2,FALSE),"Belum ada mapping")
</f>
        <v>DI Yogyakarta</v>
      </c>
      <c r="I193" s="30">
        <f>IFERROR(__xludf.DUMMYFUNCTION("IF(REGEXMATCH(F193,""Cari Kerja""),1,0)"),1.0)</f>
        <v>1</v>
      </c>
    </row>
    <row r="194">
      <c r="A194" s="11">
        <v>193.0</v>
      </c>
      <c r="B194" s="30" t="s">
        <v>207</v>
      </c>
      <c r="C194" s="30" t="s">
        <v>49</v>
      </c>
      <c r="D194" s="30" t="s">
        <v>887</v>
      </c>
      <c r="E194" s="30" t="s">
        <v>315</v>
      </c>
      <c r="F194" s="30" t="s">
        <v>235</v>
      </c>
      <c r="G194" s="30" t="s">
        <v>24</v>
      </c>
      <c r="H194" s="30" t="str">
        <f>IFERROR(VLOOKUP(TRIM(IF(ISNUMBER(FIND(",", B194)),LEFT(B194,FIND(",",B194)-1),B194)),master!A:B,2,FALSE),"Belum ada mapping")
</f>
        <v>Jakarta</v>
      </c>
      <c r="I194" s="30">
        <f>IFERROR(__xludf.DUMMYFUNCTION("IF(REGEXMATCH(F194,""Cari Kerja""),1,0)"),1.0)</f>
        <v>1</v>
      </c>
    </row>
    <row r="195">
      <c r="A195" s="11">
        <v>194.0</v>
      </c>
      <c r="B195" s="30" t="s">
        <v>809</v>
      </c>
      <c r="C195" s="30" t="s">
        <v>20</v>
      </c>
      <c r="D195" s="30" t="s">
        <v>891</v>
      </c>
      <c r="E195" s="30" t="s">
        <v>892</v>
      </c>
      <c r="F195" s="30" t="s">
        <v>31</v>
      </c>
      <c r="G195" s="30" t="s">
        <v>24</v>
      </c>
      <c r="H195" s="30" t="str">
        <f>IFERROR(VLOOKUP(TRIM(IF(ISNUMBER(FIND(",", B195)),LEFT(B195,FIND(",",B195)-1),B195)),master!A:B,2,FALSE),"Belum ada mapping")
</f>
        <v>Sumatera Utara</v>
      </c>
      <c r="I195" s="30">
        <f>IFERROR(__xludf.DUMMYFUNCTION("IF(REGEXMATCH(F195,""Cari Kerja""),1,0)"),1.0)</f>
        <v>1</v>
      </c>
    </row>
    <row r="196">
      <c r="A196" s="11">
        <v>195.0</v>
      </c>
      <c r="B196" s="30" t="s">
        <v>80</v>
      </c>
      <c r="C196" s="30" t="s">
        <v>20</v>
      </c>
      <c r="D196" s="30" t="s">
        <v>896</v>
      </c>
      <c r="E196" s="30" t="s">
        <v>51</v>
      </c>
      <c r="F196" s="30" t="s">
        <v>109</v>
      </c>
      <c r="G196" s="30" t="s">
        <v>24</v>
      </c>
      <c r="H196" s="30" t="str">
        <f>IFERROR(VLOOKUP(TRIM(IF(ISNUMBER(FIND(",", B196)),LEFT(B196,FIND(",",B196)-1),B196)),master!A:B,2,FALSE),"Belum ada mapping")
</f>
        <v>Jawa Timur</v>
      </c>
      <c r="I196" s="30">
        <f>IFERROR(__xludf.DUMMYFUNCTION("IF(REGEXMATCH(F196,""Cari Kerja""),1,0)"),1.0)</f>
        <v>1</v>
      </c>
    </row>
    <row r="197">
      <c r="A197" s="11">
        <v>196.0</v>
      </c>
      <c r="B197" s="30" t="s">
        <v>48</v>
      </c>
      <c r="C197" s="30" t="s">
        <v>20</v>
      </c>
      <c r="D197" s="30" t="s">
        <v>900</v>
      </c>
      <c r="E197" s="30" t="s">
        <v>37</v>
      </c>
      <c r="F197" s="30" t="s">
        <v>13</v>
      </c>
      <c r="G197" s="30" t="s">
        <v>24</v>
      </c>
      <c r="H197" s="30" t="str">
        <f>IFERROR(VLOOKUP(TRIM(IF(ISNUMBER(FIND(",", B197)),LEFT(B197,FIND(",",B197)-1),B197)),master!A:B,2,FALSE),"Belum ada mapping")
</f>
        <v>DI Yogyakarta</v>
      </c>
      <c r="I197" s="30">
        <f>IFERROR(__xludf.DUMMYFUNCTION("IF(REGEXMATCH(F197,""Cari Kerja""),1,0)"),0.0)</f>
        <v>0</v>
      </c>
    </row>
    <row r="198">
      <c r="A198" s="11">
        <v>197.0</v>
      </c>
      <c r="B198" s="30" t="s">
        <v>904</v>
      </c>
      <c r="C198" s="30" t="s">
        <v>20</v>
      </c>
      <c r="D198" s="30" t="s">
        <v>69</v>
      </c>
      <c r="E198" s="30" t="s">
        <v>905</v>
      </c>
      <c r="F198" s="30" t="s">
        <v>59</v>
      </c>
      <c r="G198" s="30" t="s">
        <v>38</v>
      </c>
      <c r="H198" s="30" t="str">
        <f>IFERROR(VLOOKUP(TRIM(IF(ISNUMBER(FIND(",", B198)),LEFT(B198,FIND(",",B198)-1),B198)),master!A:B,2,FALSE),"Belum ada mapping")
</f>
        <v>Jawa Tengah</v>
      </c>
      <c r="I198" s="30">
        <f>IFERROR(__xludf.DUMMYFUNCTION("IF(REGEXMATCH(F198,""Cari Kerja""),1,0)"),0.0)</f>
        <v>0</v>
      </c>
    </row>
    <row r="199">
      <c r="A199" s="11">
        <v>198.0</v>
      </c>
      <c r="B199" s="30" t="s">
        <v>909</v>
      </c>
      <c r="C199" s="30" t="s">
        <v>20</v>
      </c>
      <c r="D199" s="30" t="s">
        <v>910</v>
      </c>
      <c r="E199" s="30" t="s">
        <v>51</v>
      </c>
      <c r="F199" s="30" t="s">
        <v>23</v>
      </c>
      <c r="G199" s="30" t="s">
        <v>24</v>
      </c>
      <c r="H199" s="30" t="str">
        <f>IFERROR(VLOOKUP(TRIM(IF(ISNUMBER(FIND(",", B199)),LEFT(B199,FIND(",",B199)-1),B199)),master!A:B,2,FALSE),"Belum ada mapping")
</f>
        <v>Jawa Tengah</v>
      </c>
      <c r="I199" s="30">
        <f>IFERROR(__xludf.DUMMYFUNCTION("IF(REGEXMATCH(F199,""Cari Kerja""),1,0)"),1.0)</f>
        <v>1</v>
      </c>
    </row>
    <row r="200">
      <c r="A200" s="11">
        <v>199.0</v>
      </c>
      <c r="B200" s="30" t="s">
        <v>551</v>
      </c>
      <c r="C200" s="30" t="s">
        <v>49</v>
      </c>
      <c r="D200" s="30" t="s">
        <v>914</v>
      </c>
      <c r="E200" s="30" t="s">
        <v>915</v>
      </c>
      <c r="F200" s="30" t="s">
        <v>59</v>
      </c>
      <c r="G200" s="30" t="s">
        <v>24</v>
      </c>
      <c r="H200" s="30" t="str">
        <f>IFERROR(VLOOKUP(TRIM(IF(ISNUMBER(FIND(",", B200)),LEFT(B200,FIND(",",B200)-1),B200)),master!A:B,2,FALSE),"Belum ada mapping")
</f>
        <v>Jawa Barat</v>
      </c>
      <c r="I200" s="30">
        <f>IFERROR(__xludf.DUMMYFUNCTION("IF(REGEXMATCH(F200,""Cari Kerja""),1,0)"),0.0)</f>
        <v>0</v>
      </c>
    </row>
    <row r="201">
      <c r="A201" s="11">
        <v>200.0</v>
      </c>
      <c r="B201" s="30" t="s">
        <v>207</v>
      </c>
      <c r="C201" s="30" t="s">
        <v>49</v>
      </c>
      <c r="D201" s="30" t="s">
        <v>919</v>
      </c>
      <c r="E201" s="30" t="s">
        <v>209</v>
      </c>
      <c r="F201" s="30" t="s">
        <v>31</v>
      </c>
      <c r="G201" s="30" t="s">
        <v>24</v>
      </c>
      <c r="H201" s="30" t="str">
        <f>IFERROR(VLOOKUP(TRIM(IF(ISNUMBER(FIND(",", B201)),LEFT(B201,FIND(",",B201)-1),B201)),master!A:B,2,FALSE),"Belum ada mapping")
</f>
        <v>Jakarta</v>
      </c>
      <c r="I201" s="30">
        <f>IFERROR(__xludf.DUMMYFUNCTION("IF(REGEXMATCH(F201,""Cari Kerja""),1,0)"),1.0)</f>
        <v>1</v>
      </c>
    </row>
    <row r="202">
      <c r="A202" s="11">
        <v>201.0</v>
      </c>
      <c r="B202" s="30" t="s">
        <v>151</v>
      </c>
      <c r="C202" s="30" t="s">
        <v>20</v>
      </c>
      <c r="D202" s="30" t="s">
        <v>923</v>
      </c>
      <c r="E202" s="30" t="s">
        <v>209</v>
      </c>
      <c r="F202" s="30" t="s">
        <v>13</v>
      </c>
      <c r="G202" s="30" t="s">
        <v>76</v>
      </c>
      <c r="H202" s="30" t="str">
        <f>IFERROR(VLOOKUP(TRIM(IF(ISNUMBER(FIND(",", B202)),LEFT(B202,FIND(",",B202)-1),B202)),master!A:B,2,FALSE),"Belum ada mapping")
</f>
        <v>Riau</v>
      </c>
      <c r="I202" s="30">
        <f>IFERROR(__xludf.DUMMYFUNCTION("IF(REGEXMATCH(F202,""Cari Kerja""),1,0)"),0.0)</f>
        <v>0</v>
      </c>
    </row>
    <row r="203">
      <c r="A203" s="11">
        <v>202.0</v>
      </c>
      <c r="B203" s="30" t="s">
        <v>207</v>
      </c>
      <c r="C203" s="30" t="s">
        <v>49</v>
      </c>
      <c r="D203" s="30" t="s">
        <v>927</v>
      </c>
      <c r="E203" s="30" t="s">
        <v>165</v>
      </c>
      <c r="F203" s="30" t="s">
        <v>453</v>
      </c>
      <c r="G203" s="30" t="s">
        <v>24</v>
      </c>
      <c r="H203" s="30" t="str">
        <f>IFERROR(VLOOKUP(TRIM(IF(ISNUMBER(FIND(",", B203)),LEFT(B203,FIND(",",B203)-1),B203)),master!A:B,2,FALSE),"Belum ada mapping")
</f>
        <v>Jakarta</v>
      </c>
      <c r="I203" s="30">
        <f>IFERROR(__xludf.DUMMYFUNCTION("IF(REGEXMATCH(F203,""Cari Kerja""),1,0)"),1.0)</f>
        <v>1</v>
      </c>
    </row>
    <row r="204">
      <c r="A204" s="11">
        <v>203.0</v>
      </c>
      <c r="B204" s="30" t="s">
        <v>174</v>
      </c>
      <c r="C204" s="30" t="s">
        <v>20</v>
      </c>
      <c r="D204" s="30" t="s">
        <v>931</v>
      </c>
      <c r="E204" s="30" t="s">
        <v>932</v>
      </c>
      <c r="F204" s="30" t="s">
        <v>12</v>
      </c>
      <c r="G204" s="30" t="s">
        <v>76</v>
      </c>
      <c r="H204" s="30" t="str">
        <f>IFERROR(VLOOKUP(TRIM(IF(ISNUMBER(FIND(",", B204)),LEFT(B204,FIND(",",B204)-1),B204)),master!A:B,2,FALSE),"Belum ada mapping")
</f>
        <v>Jawa Timur</v>
      </c>
      <c r="I204" s="30">
        <f>IFERROR(__xludf.DUMMYFUNCTION("IF(REGEXMATCH(F204,""Cari Kerja""),1,0)"),1.0)</f>
        <v>1</v>
      </c>
    </row>
    <row r="205">
      <c r="A205" s="11">
        <v>204.0</v>
      </c>
      <c r="B205" s="30" t="s">
        <v>276</v>
      </c>
      <c r="C205" s="30" t="s">
        <v>20</v>
      </c>
      <c r="D205" s="30" t="s">
        <v>267</v>
      </c>
      <c r="E205" s="30" t="s">
        <v>439</v>
      </c>
      <c r="F205" s="30" t="s">
        <v>130</v>
      </c>
      <c r="G205" s="30" t="s">
        <v>24</v>
      </c>
      <c r="H205" s="30" t="str">
        <f>IFERROR(VLOOKUP(TRIM(IF(ISNUMBER(FIND(",", B205)),LEFT(B205,FIND(",",B205)-1),B205)),master!A:B,2,FALSE),"Belum ada mapping")
</f>
        <v>Jawa Timur</v>
      </c>
      <c r="I205" s="30">
        <f>IFERROR(__xludf.DUMMYFUNCTION("IF(REGEXMATCH(F205,""Cari Kerja""),1,0)"),1.0)</f>
        <v>1</v>
      </c>
    </row>
    <row r="206">
      <c r="A206" s="11">
        <v>205.0</v>
      </c>
      <c r="B206" s="30" t="s">
        <v>939</v>
      </c>
      <c r="C206" s="30" t="s">
        <v>20</v>
      </c>
      <c r="D206" s="30" t="s">
        <v>940</v>
      </c>
      <c r="E206" s="30" t="s">
        <v>51</v>
      </c>
      <c r="F206" s="30" t="s">
        <v>31</v>
      </c>
      <c r="G206" s="30" t="s">
        <v>24</v>
      </c>
      <c r="H206" s="30" t="str">
        <f>IFERROR(VLOOKUP(TRIM(IF(ISNUMBER(FIND(",", B206)),LEFT(B206,FIND(",",B206)-1),B206)),master!A:B,2,FALSE),"Belum ada mapping")
</f>
        <v>Banten</v>
      </c>
      <c r="I206" s="30">
        <f>IFERROR(__xludf.DUMMYFUNCTION("IF(REGEXMATCH(F206,""Cari Kerja""),1,0)"),1.0)</f>
        <v>1</v>
      </c>
    </row>
    <row r="207">
      <c r="A207" s="11">
        <v>206.0</v>
      </c>
      <c r="B207" s="30" t="s">
        <v>944</v>
      </c>
      <c r="C207" s="30" t="s">
        <v>49</v>
      </c>
      <c r="D207" s="30" t="s">
        <v>945</v>
      </c>
      <c r="E207" s="30" t="s">
        <v>51</v>
      </c>
      <c r="F207" s="30" t="s">
        <v>31</v>
      </c>
      <c r="G207" s="30" t="s">
        <v>24</v>
      </c>
      <c r="H207" s="30" t="str">
        <f>IFERROR(VLOOKUP(TRIM(IF(ISNUMBER(FIND(",", B207)),LEFT(B207,FIND(",",B207)-1),B207)),master!A:B,2,FALSE),"Belum ada mapping")
</f>
        <v>Bali</v>
      </c>
      <c r="I207" s="30">
        <f>IFERROR(__xludf.DUMMYFUNCTION("IF(REGEXMATCH(F207,""Cari Kerja""),1,0)"),1.0)</f>
        <v>1</v>
      </c>
    </row>
    <row r="208">
      <c r="A208" s="11">
        <v>207.0</v>
      </c>
      <c r="B208" s="30" t="s">
        <v>409</v>
      </c>
      <c r="C208" s="30" t="s">
        <v>20</v>
      </c>
      <c r="D208" s="30" t="s">
        <v>949</v>
      </c>
      <c r="E208" s="30" t="s">
        <v>950</v>
      </c>
      <c r="F208" s="30" t="s">
        <v>130</v>
      </c>
      <c r="G208" s="30" t="s">
        <v>24</v>
      </c>
      <c r="H208" s="30" t="str">
        <f>IFERROR(VLOOKUP(TRIM(IF(ISNUMBER(FIND(",", B208)),LEFT(B208,FIND(",",B208)-1),B208)),master!A:B,2,FALSE),"Belum ada mapping")
</f>
        <v>Jawa Tengah</v>
      </c>
      <c r="I208" s="30">
        <f>IFERROR(__xludf.DUMMYFUNCTION("IF(REGEXMATCH(F208,""Cari Kerja""),1,0)"),1.0)</f>
        <v>1</v>
      </c>
    </row>
    <row r="209">
      <c r="A209" s="11">
        <v>208.0</v>
      </c>
      <c r="B209" s="30" t="s">
        <v>825</v>
      </c>
      <c r="C209" s="30" t="s">
        <v>49</v>
      </c>
      <c r="D209" s="30" t="s">
        <v>954</v>
      </c>
      <c r="E209" s="30" t="s">
        <v>955</v>
      </c>
      <c r="F209" s="30" t="s">
        <v>23</v>
      </c>
      <c r="G209" s="30" t="s">
        <v>24</v>
      </c>
      <c r="H209" s="30" t="str">
        <f>IFERROR(VLOOKUP(TRIM(IF(ISNUMBER(FIND(",", B209)),LEFT(B209,FIND(",",B209)-1),B209)),master!A:B,2,FALSE),"Belum ada mapping")
</f>
        <v>Jawa Barat</v>
      </c>
      <c r="I209" s="30">
        <f>IFERROR(__xludf.DUMMYFUNCTION("IF(REGEXMATCH(F209,""Cari Kerja""),1,0)"),1.0)</f>
        <v>1</v>
      </c>
    </row>
    <row r="210">
      <c r="A210" s="11">
        <v>209.0</v>
      </c>
      <c r="B210" s="30" t="s">
        <v>48</v>
      </c>
      <c r="C210" s="30" t="s">
        <v>20</v>
      </c>
      <c r="D210" s="30" t="s">
        <v>959</v>
      </c>
      <c r="E210" s="30" t="s">
        <v>170</v>
      </c>
      <c r="F210" s="30" t="s">
        <v>31</v>
      </c>
      <c r="G210" s="30" t="s">
        <v>24</v>
      </c>
      <c r="H210" s="30" t="str">
        <f>IFERROR(VLOOKUP(TRIM(IF(ISNUMBER(FIND(",", B210)),LEFT(B210,FIND(",",B210)-1),B210)),master!A:B,2,FALSE),"Belum ada mapping")
</f>
        <v>DI Yogyakarta</v>
      </c>
      <c r="I210" s="30">
        <f>IFERROR(__xludf.DUMMYFUNCTION("IF(REGEXMATCH(F210,""Cari Kerja""),1,0)"),1.0)</f>
        <v>1</v>
      </c>
    </row>
    <row r="211">
      <c r="A211" s="11">
        <v>210.0</v>
      </c>
      <c r="B211" s="30" t="s">
        <v>680</v>
      </c>
      <c r="C211" s="30" t="s">
        <v>49</v>
      </c>
      <c r="D211" s="30" t="s">
        <v>963</v>
      </c>
      <c r="E211" s="30" t="s">
        <v>651</v>
      </c>
      <c r="F211" s="30" t="s">
        <v>23</v>
      </c>
      <c r="G211" s="30" t="s">
        <v>38</v>
      </c>
      <c r="H211" s="30" t="str">
        <f>IFERROR(VLOOKUP(TRIM(IF(ISNUMBER(FIND(",", B211)),LEFT(B211,FIND(",",B211)-1),B211)),master!A:B,2,FALSE),"Belum ada mapping")
</f>
        <v>Jawa Barat</v>
      </c>
      <c r="I211" s="30">
        <f>IFERROR(__xludf.DUMMYFUNCTION("IF(REGEXMATCH(F211,""Cari Kerja""),1,0)"),1.0)</f>
        <v>1</v>
      </c>
    </row>
    <row r="212">
      <c r="A212" s="11">
        <v>211.0</v>
      </c>
      <c r="B212" s="30" t="s">
        <v>837</v>
      </c>
      <c r="C212" s="30" t="s">
        <v>20</v>
      </c>
      <c r="D212" s="30" t="s">
        <v>967</v>
      </c>
      <c r="E212" s="30" t="s">
        <v>278</v>
      </c>
      <c r="F212" s="30" t="s">
        <v>968</v>
      </c>
      <c r="G212" s="30" t="s">
        <v>24</v>
      </c>
      <c r="H212" s="30" t="str">
        <f>IFERROR(VLOOKUP(TRIM(IF(ISNUMBER(FIND(",", B212)),LEFT(B212,FIND(",",B212)-1),B212)),master!A:B,2,FALSE),"Belum ada mapping")
</f>
        <v>Jawa Barat</v>
      </c>
      <c r="I212" s="30">
        <f>IFERROR(__xludf.DUMMYFUNCTION("IF(REGEXMATCH(F212,""Cari Kerja""),1,0)"),1.0)</f>
        <v>1</v>
      </c>
    </row>
    <row r="213">
      <c r="A213" s="11">
        <v>212.0</v>
      </c>
      <c r="B213" s="30" t="s">
        <v>972</v>
      </c>
      <c r="C213" s="30" t="s">
        <v>20</v>
      </c>
      <c r="D213" s="30" t="s">
        <v>267</v>
      </c>
      <c r="E213" s="30" t="s">
        <v>582</v>
      </c>
      <c r="F213" s="30" t="s">
        <v>31</v>
      </c>
      <c r="G213" s="30" t="s">
        <v>24</v>
      </c>
      <c r="H213" s="30" t="str">
        <f>IFERROR(VLOOKUP(TRIM(IF(ISNUMBER(FIND(",", B213)),LEFT(B213,FIND(",",B213)-1),B213)),master!A:B,2,FALSE),"Belum ada mapping")
</f>
        <v>Jawa Barat</v>
      </c>
      <c r="I213" s="30">
        <f>IFERROR(__xludf.DUMMYFUNCTION("IF(REGEXMATCH(F213,""Cari Kerja""),1,0)"),1.0)</f>
        <v>1</v>
      </c>
    </row>
    <row r="214">
      <c r="A214" s="11">
        <v>213.0</v>
      </c>
      <c r="B214" s="30" t="s">
        <v>42</v>
      </c>
      <c r="C214" s="30" t="s">
        <v>20</v>
      </c>
      <c r="D214" s="30" t="s">
        <v>976</v>
      </c>
      <c r="E214" s="30" t="s">
        <v>370</v>
      </c>
      <c r="F214" s="30" t="s">
        <v>23</v>
      </c>
      <c r="G214" s="30" t="s">
        <v>38</v>
      </c>
      <c r="H214" s="30" t="str">
        <f>IFERROR(VLOOKUP(TRIM(IF(ISNUMBER(FIND(",", B214)),LEFT(B214,FIND(",",B214)-1),B214)),master!A:B,2,FALSE),"Belum ada mapping")
</f>
        <v>Jawa Barat</v>
      </c>
      <c r="I214" s="30">
        <f>IFERROR(__xludf.DUMMYFUNCTION("IF(REGEXMATCH(F214,""Cari Kerja""),1,0)"),1.0)</f>
        <v>1</v>
      </c>
    </row>
    <row r="215">
      <c r="A215" s="11">
        <v>214.0</v>
      </c>
      <c r="B215" s="30" t="s">
        <v>207</v>
      </c>
      <c r="C215" s="30" t="s">
        <v>49</v>
      </c>
      <c r="D215" s="30" t="s">
        <v>980</v>
      </c>
      <c r="E215" s="30" t="s">
        <v>981</v>
      </c>
      <c r="F215" s="30" t="s">
        <v>31</v>
      </c>
      <c r="G215" s="30" t="s">
        <v>38</v>
      </c>
      <c r="H215" s="30" t="str">
        <f>IFERROR(VLOOKUP(TRIM(IF(ISNUMBER(FIND(",", B215)),LEFT(B215,FIND(",",B215)-1),B215)),master!A:B,2,FALSE),"Belum ada mapping")
</f>
        <v>Jakarta</v>
      </c>
      <c r="I215" s="30">
        <f>IFERROR(__xludf.DUMMYFUNCTION("IF(REGEXMATCH(F215,""Cari Kerja""),1,0)"),1.0)</f>
        <v>1</v>
      </c>
    </row>
    <row r="216">
      <c r="A216" s="11">
        <v>215.0</v>
      </c>
      <c r="B216" s="30" t="s">
        <v>443</v>
      </c>
      <c r="C216" s="30" t="s">
        <v>20</v>
      </c>
      <c r="D216" s="30" t="s">
        <v>21</v>
      </c>
      <c r="E216" s="30" t="s">
        <v>51</v>
      </c>
      <c r="F216" s="30" t="s">
        <v>23</v>
      </c>
      <c r="G216" s="30" t="s">
        <v>24</v>
      </c>
      <c r="H216" s="30" t="str">
        <f>IFERROR(VLOOKUP(TRIM(IF(ISNUMBER(FIND(",", B216)),LEFT(B216,FIND(",",B216)-1),B216)),master!A:B,2,FALSE),"Belum ada mapping")
</f>
        <v>Jawa Tengah</v>
      </c>
      <c r="I216" s="30">
        <f>IFERROR(__xludf.DUMMYFUNCTION("IF(REGEXMATCH(F216,""Cari Kerja""),1,0)"),1.0)</f>
        <v>1</v>
      </c>
    </row>
    <row r="217">
      <c r="A217" s="11">
        <v>216.0</v>
      </c>
      <c r="B217" s="30" t="s">
        <v>158</v>
      </c>
      <c r="C217" s="30" t="s">
        <v>20</v>
      </c>
      <c r="D217" s="30" t="s">
        <v>988</v>
      </c>
      <c r="E217" s="30" t="s">
        <v>51</v>
      </c>
      <c r="F217" s="30" t="s">
        <v>31</v>
      </c>
      <c r="G217" s="30" t="s">
        <v>24</v>
      </c>
      <c r="H217" s="30" t="str">
        <f>IFERROR(VLOOKUP(TRIM(IF(ISNUMBER(FIND(",", B217)),LEFT(B217,FIND(",",B217)-1),B217)),master!A:B,2,FALSE),"Belum ada mapping")
</f>
        <v>Jawa Barat</v>
      </c>
      <c r="I217" s="30">
        <f>IFERROR(__xludf.DUMMYFUNCTION("IF(REGEXMATCH(F217,""Cari Kerja""),1,0)"),1.0)</f>
        <v>1</v>
      </c>
    </row>
    <row r="218">
      <c r="A218" s="11">
        <v>217.0</v>
      </c>
      <c r="B218" s="30" t="s">
        <v>158</v>
      </c>
      <c r="C218" s="30" t="s">
        <v>20</v>
      </c>
      <c r="D218" s="30" t="s">
        <v>989</v>
      </c>
      <c r="E218" s="30" t="s">
        <v>51</v>
      </c>
      <c r="F218" s="30" t="s">
        <v>31</v>
      </c>
      <c r="G218" s="30" t="s">
        <v>24</v>
      </c>
      <c r="H218" s="30" t="str">
        <f>IFERROR(VLOOKUP(TRIM(IF(ISNUMBER(FIND(",", B218)),LEFT(B218,FIND(",",B218)-1),B218)),master!A:B,2,FALSE),"Belum ada mapping")
</f>
        <v>Jawa Barat</v>
      </c>
      <c r="I218" s="30">
        <f>IFERROR(__xludf.DUMMYFUNCTION("IF(REGEXMATCH(F218,""Cari Kerja""),1,0)"),1.0)</f>
        <v>1</v>
      </c>
    </row>
    <row r="219">
      <c r="A219" s="11">
        <v>218.0</v>
      </c>
      <c r="B219" s="30" t="s">
        <v>134</v>
      </c>
      <c r="C219" s="30" t="s">
        <v>20</v>
      </c>
      <c r="D219" s="30" t="s">
        <v>993</v>
      </c>
      <c r="E219" s="30" t="s">
        <v>176</v>
      </c>
      <c r="F219" s="30" t="s">
        <v>13</v>
      </c>
      <c r="G219" s="30" t="s">
        <v>24</v>
      </c>
      <c r="H219" s="30" t="str">
        <f>IFERROR(VLOOKUP(TRIM(IF(ISNUMBER(FIND(",", B219)),LEFT(B219,FIND(",",B219)-1),B219)),master!A:B,2,FALSE),"Belum ada mapping")
</f>
        <v>Jawa Barat</v>
      </c>
      <c r="I219" s="30">
        <f>IFERROR(__xludf.DUMMYFUNCTION("IF(REGEXMATCH(F219,""Cari Kerja""),1,0)"),0.0)</f>
        <v>0</v>
      </c>
    </row>
    <row r="220">
      <c r="A220" s="11">
        <v>219.0</v>
      </c>
      <c r="B220" s="30" t="s">
        <v>74</v>
      </c>
      <c r="C220" s="30" t="s">
        <v>20</v>
      </c>
      <c r="D220" s="30" t="s">
        <v>997</v>
      </c>
      <c r="E220" s="30" t="s">
        <v>998</v>
      </c>
      <c r="F220" s="30" t="s">
        <v>13</v>
      </c>
      <c r="G220" s="30" t="s">
        <v>76</v>
      </c>
      <c r="H220" s="30" t="str">
        <f>IFERROR(VLOOKUP(TRIM(IF(ISNUMBER(FIND(",", B220)),LEFT(B220,FIND(",",B220)-1),B220)),master!A:B,2,FALSE),"Belum ada mapping")
</f>
        <v>Banten</v>
      </c>
      <c r="I220" s="30">
        <f>IFERROR(__xludf.DUMMYFUNCTION("IF(REGEXMATCH(F220,""Cari Kerja""),1,0)"),0.0)</f>
        <v>0</v>
      </c>
    </row>
    <row r="221">
      <c r="A221" s="11">
        <v>220.0</v>
      </c>
      <c r="B221" s="30" t="s">
        <v>92</v>
      </c>
      <c r="C221" s="30" t="s">
        <v>49</v>
      </c>
      <c r="D221" s="30" t="s">
        <v>1002</v>
      </c>
      <c r="E221" s="30" t="s">
        <v>1003</v>
      </c>
      <c r="F221" s="30" t="s">
        <v>59</v>
      </c>
      <c r="G221" s="30" t="s">
        <v>24</v>
      </c>
      <c r="H221" s="30" t="str">
        <f>IFERROR(VLOOKUP(TRIM(IF(ISNUMBER(FIND(",", B221)),LEFT(B221,FIND(",",B221)-1),B221)),master!A:B,2,FALSE),"Belum ada mapping")
</f>
        <v>Jawa Barat</v>
      </c>
      <c r="I221" s="30">
        <f>IFERROR(__xludf.DUMMYFUNCTION("IF(REGEXMATCH(F221,""Cari Kerja""),1,0)"),0.0)</f>
        <v>0</v>
      </c>
    </row>
    <row r="222">
      <c r="A222" s="11">
        <v>221.0</v>
      </c>
      <c r="B222" s="30" t="s">
        <v>92</v>
      </c>
      <c r="C222" s="30" t="s">
        <v>49</v>
      </c>
      <c r="D222" s="30" t="s">
        <v>1005</v>
      </c>
      <c r="E222" s="30" t="s">
        <v>1006</v>
      </c>
      <c r="F222" s="30" t="s">
        <v>109</v>
      </c>
      <c r="G222" s="30" t="s">
        <v>24</v>
      </c>
      <c r="H222" s="30" t="str">
        <f>IFERROR(VLOOKUP(TRIM(IF(ISNUMBER(FIND(",", B222)),LEFT(B222,FIND(",",B222)-1),B222)),master!A:B,2,FALSE),"Belum ada mapping")
</f>
        <v>Jawa Barat</v>
      </c>
      <c r="I222" s="30">
        <f>IFERROR(__xludf.DUMMYFUNCTION("IF(REGEXMATCH(F222,""Cari Kerja""),1,0)"),1.0)</f>
        <v>1</v>
      </c>
    </row>
    <row r="223">
      <c r="A223" s="11">
        <v>222.0</v>
      </c>
      <c r="B223" s="30" t="s">
        <v>1010</v>
      </c>
      <c r="C223" s="30" t="s">
        <v>20</v>
      </c>
      <c r="D223" s="30" t="s">
        <v>1011</v>
      </c>
      <c r="E223" s="30" t="s">
        <v>82</v>
      </c>
      <c r="F223" s="30" t="s">
        <v>59</v>
      </c>
      <c r="G223" s="30" t="s">
        <v>38</v>
      </c>
      <c r="H223" s="30" t="str">
        <f>IFERROR(VLOOKUP(TRIM(IF(ISNUMBER(FIND(",", B223)),LEFT(B223,FIND(",",B223)-1),B223)),master!A:B,2,FALSE),"Belum ada mapping")
</f>
        <v>Jawa Barat</v>
      </c>
      <c r="I223" s="30">
        <f>IFERROR(__xludf.DUMMYFUNCTION("IF(REGEXMATCH(F223,""Cari Kerja""),1,0)"),0.0)</f>
        <v>0</v>
      </c>
    </row>
    <row r="224">
      <c r="A224" s="11">
        <v>223.0</v>
      </c>
      <c r="B224" s="30" t="s">
        <v>364</v>
      </c>
      <c r="C224" s="30" t="s">
        <v>49</v>
      </c>
      <c r="D224" s="30" t="s">
        <v>1015</v>
      </c>
      <c r="E224" s="30" t="s">
        <v>1016</v>
      </c>
      <c r="F224" s="30" t="s">
        <v>59</v>
      </c>
      <c r="G224" s="30" t="s">
        <v>38</v>
      </c>
      <c r="H224" s="30" t="str">
        <f>IFERROR(VLOOKUP(TRIM(IF(ISNUMBER(FIND(",", B224)),LEFT(B224,FIND(",",B224)-1),B224)),master!A:B,2,FALSE),"Belum ada mapping")
</f>
        <v>Jakarta</v>
      </c>
      <c r="I224" s="30">
        <f>IFERROR(__xludf.DUMMYFUNCTION("IF(REGEXMATCH(F224,""Cari Kerja""),1,0)"),0.0)</f>
        <v>0</v>
      </c>
    </row>
    <row r="225">
      <c r="A225" s="11">
        <v>224.0</v>
      </c>
      <c r="B225" s="30" t="s">
        <v>1020</v>
      </c>
      <c r="C225" s="30" t="s">
        <v>49</v>
      </c>
      <c r="D225" s="30" t="s">
        <v>867</v>
      </c>
      <c r="E225" s="30" t="s">
        <v>51</v>
      </c>
      <c r="F225" s="30" t="s">
        <v>31</v>
      </c>
      <c r="G225" s="30" t="s">
        <v>24</v>
      </c>
      <c r="H225" s="30" t="str">
        <f>IFERROR(VLOOKUP(TRIM(IF(ISNUMBER(FIND(",", B225)),LEFT(B225,FIND(",",B225)-1),B225)),master!A:B,2,FALSE),"Belum ada mapping")
</f>
        <v>Jawa Timur</v>
      </c>
      <c r="I225" s="30">
        <f>IFERROR(__xludf.DUMMYFUNCTION("IF(REGEXMATCH(F225,""Cari Kerja""),1,0)"),1.0)</f>
        <v>1</v>
      </c>
    </row>
    <row r="226">
      <c r="A226" s="11">
        <v>225.0</v>
      </c>
      <c r="B226" s="30" t="s">
        <v>344</v>
      </c>
      <c r="C226" s="30" t="s">
        <v>20</v>
      </c>
      <c r="D226" s="30" t="s">
        <v>267</v>
      </c>
      <c r="E226" s="30" t="s">
        <v>58</v>
      </c>
      <c r="F226" s="30" t="s">
        <v>130</v>
      </c>
      <c r="G226" s="30" t="s">
        <v>24</v>
      </c>
      <c r="H226" s="30" t="str">
        <f>IFERROR(VLOOKUP(TRIM(IF(ISNUMBER(FIND(",", B226)),LEFT(B226,FIND(",",B226)-1),B226)),master!A:B,2,FALSE),"Belum ada mapping")
</f>
        <v>Jawa Timur</v>
      </c>
      <c r="I226" s="30">
        <f>IFERROR(__xludf.DUMMYFUNCTION("IF(REGEXMATCH(F226,""Cari Kerja""),1,0)"),1.0)</f>
        <v>1</v>
      </c>
    </row>
    <row r="227">
      <c r="A227" s="11">
        <v>226.0</v>
      </c>
      <c r="B227" s="30" t="s">
        <v>118</v>
      </c>
      <c r="C227" s="30" t="s">
        <v>49</v>
      </c>
      <c r="D227" s="30" t="s">
        <v>1027</v>
      </c>
      <c r="E227" s="30" t="s">
        <v>176</v>
      </c>
      <c r="F227" s="30" t="s">
        <v>13</v>
      </c>
      <c r="G227" s="30" t="s">
        <v>24</v>
      </c>
      <c r="H227" s="30" t="str">
        <f>IFERROR(VLOOKUP(TRIM(IF(ISNUMBER(FIND(",", B227)),LEFT(B227,FIND(",",B227)-1),B227)),master!A:B,2,FALSE),"Belum ada mapping")
</f>
        <v>Jawa Timur</v>
      </c>
      <c r="I227" s="30">
        <f>IFERROR(__xludf.DUMMYFUNCTION("IF(REGEXMATCH(F227,""Cari Kerja""),1,0)"),0.0)</f>
        <v>0</v>
      </c>
    </row>
    <row r="228">
      <c r="A228" s="11">
        <v>227.0</v>
      </c>
      <c r="B228" s="30" t="s">
        <v>1031</v>
      </c>
      <c r="C228" s="30" t="s">
        <v>20</v>
      </c>
      <c r="D228" s="30" t="s">
        <v>1032</v>
      </c>
      <c r="E228" s="30" t="s">
        <v>51</v>
      </c>
      <c r="F228" s="30" t="s">
        <v>13</v>
      </c>
      <c r="G228" s="30" t="s">
        <v>24</v>
      </c>
      <c r="H228" s="30" t="str">
        <f>IFERROR(VLOOKUP(TRIM(IF(ISNUMBER(FIND(",", B228)),LEFT(B228,FIND(",",B228)-1),B228)),master!A:B,2,FALSE),"Belum ada mapping")
</f>
        <v>Jawa Barat</v>
      </c>
      <c r="I228" s="30">
        <f>IFERROR(__xludf.DUMMYFUNCTION("IF(REGEXMATCH(F228,""Cari Kerja""),1,0)"),0.0)</f>
        <v>0</v>
      </c>
    </row>
    <row r="229">
      <c r="A229" s="11">
        <v>228.0</v>
      </c>
      <c r="B229" s="30" t="s">
        <v>207</v>
      </c>
      <c r="C229" s="30" t="s">
        <v>20</v>
      </c>
      <c r="D229" s="30" t="s">
        <v>21</v>
      </c>
      <c r="E229" s="30" t="s">
        <v>51</v>
      </c>
      <c r="F229" s="30" t="s">
        <v>31</v>
      </c>
      <c r="G229" s="30" t="s">
        <v>76</v>
      </c>
      <c r="H229" s="30" t="str">
        <f>IFERROR(VLOOKUP(TRIM(IF(ISNUMBER(FIND(",", B229)),LEFT(B229,FIND(",",B229)-1),B229)),master!A:B,2,FALSE),"Belum ada mapping")
</f>
        <v>Jakarta</v>
      </c>
      <c r="I229" s="30">
        <f>IFERROR(__xludf.DUMMYFUNCTION("IF(REGEXMATCH(F229,""Cari Kerja""),1,0)"),1.0)</f>
        <v>1</v>
      </c>
    </row>
    <row r="230">
      <c r="A230" s="11">
        <v>229.0</v>
      </c>
      <c r="B230" s="30" t="s">
        <v>42</v>
      </c>
      <c r="C230" s="30" t="s">
        <v>49</v>
      </c>
      <c r="D230" s="30" t="s">
        <v>1039</v>
      </c>
      <c r="E230" s="30" t="s">
        <v>1040</v>
      </c>
      <c r="F230" s="30" t="s">
        <v>52</v>
      </c>
      <c r="G230" s="30" t="s">
        <v>76</v>
      </c>
      <c r="H230" s="30" t="str">
        <f>IFERROR(VLOOKUP(TRIM(IF(ISNUMBER(FIND(",", B230)),LEFT(B230,FIND(",",B230)-1),B230)),master!A:B,2,FALSE),"Belum ada mapping")
</f>
        <v>Jawa Barat</v>
      </c>
      <c r="I230" s="30">
        <f>IFERROR(__xludf.DUMMYFUNCTION("IF(REGEXMATCH(F230,""Cari Kerja""),1,0)"),0.0)</f>
        <v>0</v>
      </c>
    </row>
    <row r="231">
      <c r="A231" s="11">
        <v>230.0</v>
      </c>
      <c r="B231" s="30" t="s">
        <v>42</v>
      </c>
      <c r="C231" s="30" t="s">
        <v>20</v>
      </c>
      <c r="D231" s="30" t="s">
        <v>1044</v>
      </c>
      <c r="E231" s="30" t="s">
        <v>51</v>
      </c>
      <c r="F231" s="30" t="s">
        <v>31</v>
      </c>
      <c r="G231" s="30" t="s">
        <v>24</v>
      </c>
      <c r="H231" s="30" t="str">
        <f>IFERROR(VLOOKUP(TRIM(IF(ISNUMBER(FIND(",", B231)),LEFT(B231,FIND(",",B231)-1),B231)),master!A:B,2,FALSE),"Belum ada mapping")
</f>
        <v>Jawa Barat</v>
      </c>
      <c r="I231" s="30">
        <f>IFERROR(__xludf.DUMMYFUNCTION("IF(REGEXMATCH(F231,""Cari Kerja""),1,0)"),1.0)</f>
        <v>1</v>
      </c>
    </row>
    <row r="232">
      <c r="A232" s="11">
        <v>231.0</v>
      </c>
      <c r="B232" s="30" t="s">
        <v>207</v>
      </c>
      <c r="C232" s="30" t="s">
        <v>49</v>
      </c>
      <c r="D232" s="30" t="s">
        <v>1048</v>
      </c>
      <c r="E232" s="30" t="s">
        <v>278</v>
      </c>
      <c r="F232" s="30" t="s">
        <v>31</v>
      </c>
      <c r="G232" s="30" t="s">
        <v>38</v>
      </c>
      <c r="H232" s="30" t="str">
        <f>IFERROR(VLOOKUP(TRIM(IF(ISNUMBER(FIND(",", B232)),LEFT(B232,FIND(",",B232)-1),B232)),master!A:B,2,FALSE),"Belum ada mapping")
</f>
        <v>Jakarta</v>
      </c>
      <c r="I232" s="30">
        <f>IFERROR(__xludf.DUMMYFUNCTION("IF(REGEXMATCH(F232,""Cari Kerja""),1,0)"),1.0)</f>
        <v>1</v>
      </c>
    </row>
    <row r="233">
      <c r="A233" s="11">
        <v>232.0</v>
      </c>
      <c r="B233" s="30" t="s">
        <v>1052</v>
      </c>
      <c r="C233" s="30" t="s">
        <v>20</v>
      </c>
      <c r="D233" s="30" t="s">
        <v>1053</v>
      </c>
      <c r="E233" s="30" t="s">
        <v>1054</v>
      </c>
      <c r="F233" s="30" t="s">
        <v>59</v>
      </c>
      <c r="G233" s="30" t="s">
        <v>24</v>
      </c>
      <c r="H233" s="30" t="str">
        <f>IFERROR(VLOOKUP(TRIM(IF(ISNUMBER(FIND(",", B233)),LEFT(B233,FIND(",",B233)-1),B233)),master!A:B,2,FALSE),"Belum ada mapping")
</f>
        <v>Sulawesi Tengah</v>
      </c>
      <c r="I233" s="30">
        <f>IFERROR(__xludf.DUMMYFUNCTION("IF(REGEXMATCH(F233,""Cari Kerja""),1,0)"),0.0)</f>
        <v>0</v>
      </c>
    </row>
    <row r="234">
      <c r="A234" s="11">
        <v>233.0</v>
      </c>
      <c r="B234" s="30" t="s">
        <v>42</v>
      </c>
      <c r="C234" s="30" t="s">
        <v>49</v>
      </c>
      <c r="D234" s="30" t="s">
        <v>1058</v>
      </c>
      <c r="E234" s="30" t="s">
        <v>198</v>
      </c>
      <c r="F234" s="30" t="s">
        <v>31</v>
      </c>
      <c r="G234" s="30" t="s">
        <v>38</v>
      </c>
      <c r="H234" s="30" t="str">
        <f>IFERROR(VLOOKUP(TRIM(IF(ISNUMBER(FIND(",", B234)),LEFT(B234,FIND(",",B234)-1),B234)),master!A:B,2,FALSE),"Belum ada mapping")
</f>
        <v>Jawa Barat</v>
      </c>
      <c r="I234" s="30">
        <f>IFERROR(__xludf.DUMMYFUNCTION("IF(REGEXMATCH(F234,""Cari Kerja""),1,0)"),1.0)</f>
        <v>1</v>
      </c>
    </row>
    <row r="235">
      <c r="A235" s="11">
        <v>234.0</v>
      </c>
      <c r="B235" s="30" t="s">
        <v>42</v>
      </c>
      <c r="C235" s="30" t="s">
        <v>49</v>
      </c>
      <c r="D235" s="30" t="s">
        <v>1059</v>
      </c>
      <c r="E235" s="30" t="s">
        <v>51</v>
      </c>
      <c r="F235" s="30" t="s">
        <v>31</v>
      </c>
      <c r="G235" s="30" t="s">
        <v>24</v>
      </c>
      <c r="H235" s="30" t="str">
        <f>IFERROR(VLOOKUP(TRIM(IF(ISNUMBER(FIND(",", B235)),LEFT(B235,FIND(",",B235)-1),B235)),master!A:B,2,FALSE),"Belum ada mapping")
</f>
        <v>Jawa Barat</v>
      </c>
      <c r="I235" s="30">
        <f>IFERROR(__xludf.DUMMYFUNCTION("IF(REGEXMATCH(F235,""Cari Kerja""),1,0)"),1.0)</f>
        <v>1</v>
      </c>
    </row>
    <row r="236">
      <c r="A236" s="11">
        <v>235.0</v>
      </c>
      <c r="B236" s="30" t="s">
        <v>551</v>
      </c>
      <c r="C236" s="30" t="s">
        <v>20</v>
      </c>
      <c r="D236" s="30" t="s">
        <v>1063</v>
      </c>
      <c r="E236" s="30" t="s">
        <v>51</v>
      </c>
      <c r="F236" s="30" t="s">
        <v>23</v>
      </c>
      <c r="G236" s="30" t="s">
        <v>24</v>
      </c>
      <c r="H236" s="30" t="str">
        <f>IFERROR(VLOOKUP(TRIM(IF(ISNUMBER(FIND(",", B236)),LEFT(B236,FIND(",",B236)-1),B236)),master!A:B,2,FALSE),"Belum ada mapping")
</f>
        <v>Jawa Barat</v>
      </c>
      <c r="I236" s="30">
        <f>IFERROR(__xludf.DUMMYFUNCTION("IF(REGEXMATCH(F236,""Cari Kerja""),1,0)"),1.0)</f>
        <v>1</v>
      </c>
    </row>
    <row r="237">
      <c r="A237" s="11">
        <v>236.0</v>
      </c>
      <c r="B237" s="30" t="s">
        <v>1067</v>
      </c>
      <c r="C237" s="30" t="s">
        <v>20</v>
      </c>
      <c r="D237" s="30" t="s">
        <v>1068</v>
      </c>
      <c r="E237" s="30" t="s">
        <v>1069</v>
      </c>
      <c r="F237" s="30" t="s">
        <v>31</v>
      </c>
      <c r="G237" s="30" t="s">
        <v>24</v>
      </c>
      <c r="H237" s="30" t="str">
        <f>IFERROR(VLOOKUP(TRIM(IF(ISNUMBER(FIND(",", B237)),LEFT(B237,FIND(",",B237)-1),B237)),master!A:B,2,FALSE),"Belum ada mapping")
</f>
        <v>Jawa Barat</v>
      </c>
      <c r="I237" s="30">
        <f>IFERROR(__xludf.DUMMYFUNCTION("IF(REGEXMATCH(F237,""Cari Kerja""),1,0)"),1.0)</f>
        <v>1</v>
      </c>
    </row>
    <row r="238">
      <c r="A238" s="11">
        <v>237.0</v>
      </c>
      <c r="B238" s="30" t="s">
        <v>551</v>
      </c>
      <c r="C238" s="30" t="s">
        <v>20</v>
      </c>
      <c r="D238" s="30" t="s">
        <v>1073</v>
      </c>
      <c r="E238" s="30" t="s">
        <v>51</v>
      </c>
      <c r="F238" s="30" t="s">
        <v>23</v>
      </c>
      <c r="G238" s="30" t="s">
        <v>24</v>
      </c>
      <c r="H238" s="30" t="str">
        <f>IFERROR(VLOOKUP(TRIM(IF(ISNUMBER(FIND(",", B238)),LEFT(B238,FIND(",",B238)-1),B238)),master!A:B,2,FALSE),"Belum ada mapping")
</f>
        <v>Jawa Barat</v>
      </c>
      <c r="I238" s="30">
        <f>IFERROR(__xludf.DUMMYFUNCTION("IF(REGEXMATCH(F238,""Cari Kerja""),1,0)"),1.0)</f>
        <v>1</v>
      </c>
    </row>
    <row r="239">
      <c r="A239" s="11">
        <v>238.0</v>
      </c>
      <c r="B239" s="30" t="s">
        <v>42</v>
      </c>
      <c r="C239" s="30" t="s">
        <v>20</v>
      </c>
      <c r="D239" s="30" t="s">
        <v>1077</v>
      </c>
      <c r="E239" s="30" t="s">
        <v>1006</v>
      </c>
      <c r="F239" s="30" t="s">
        <v>31</v>
      </c>
      <c r="G239" s="30" t="s">
        <v>24</v>
      </c>
      <c r="H239" s="30" t="str">
        <f>IFERROR(VLOOKUP(TRIM(IF(ISNUMBER(FIND(",", B239)),LEFT(B239,FIND(",",B239)-1),B239)),master!A:B,2,FALSE),"Belum ada mapping")
</f>
        <v>Jawa Barat</v>
      </c>
      <c r="I239" s="30">
        <f>IFERROR(__xludf.DUMMYFUNCTION("IF(REGEXMATCH(F239,""Cari Kerja""),1,0)"),1.0)</f>
        <v>1</v>
      </c>
    </row>
    <row r="240">
      <c r="A240" s="11">
        <v>239.0</v>
      </c>
      <c r="B240" s="30" t="s">
        <v>344</v>
      </c>
      <c r="C240" s="30" t="s">
        <v>49</v>
      </c>
      <c r="D240" s="30" t="s">
        <v>1081</v>
      </c>
      <c r="E240" s="30" t="s">
        <v>1082</v>
      </c>
      <c r="F240" s="30" t="s">
        <v>52</v>
      </c>
      <c r="G240" s="30" t="s">
        <v>24</v>
      </c>
      <c r="H240" s="30" t="str">
        <f>IFERROR(VLOOKUP(TRIM(IF(ISNUMBER(FIND(",", B240)),LEFT(B240,FIND(",",B240)-1),B240)),master!A:B,2,FALSE),"Belum ada mapping")
</f>
        <v>Jawa Timur</v>
      </c>
      <c r="I240" s="30">
        <f>IFERROR(__xludf.DUMMYFUNCTION("IF(REGEXMATCH(F240,""Cari Kerja""),1,0)"),0.0)</f>
        <v>0</v>
      </c>
    </row>
    <row r="241">
      <c r="A241" s="11">
        <v>240.0</v>
      </c>
      <c r="B241" s="30" t="s">
        <v>344</v>
      </c>
      <c r="C241" s="30" t="s">
        <v>49</v>
      </c>
      <c r="D241" s="30" t="s">
        <v>1084</v>
      </c>
      <c r="E241" s="30" t="s">
        <v>51</v>
      </c>
      <c r="F241" s="30" t="s">
        <v>52</v>
      </c>
      <c r="G241" s="30" t="s">
        <v>24</v>
      </c>
      <c r="H241" s="30" t="str">
        <f>IFERROR(VLOOKUP(TRIM(IF(ISNUMBER(FIND(",", B241)),LEFT(B241,FIND(",",B241)-1),B241)),master!A:B,2,FALSE),"Belum ada mapping")
</f>
        <v>Jawa Timur</v>
      </c>
      <c r="I241" s="30">
        <f>IFERROR(__xludf.DUMMYFUNCTION("IF(REGEXMATCH(F241,""Cari Kerja""),1,0)"),0.0)</f>
        <v>0</v>
      </c>
    </row>
    <row r="242">
      <c r="A242" s="11">
        <v>241.0</v>
      </c>
      <c r="B242" s="30" t="s">
        <v>74</v>
      </c>
      <c r="C242" s="30" t="s">
        <v>20</v>
      </c>
      <c r="D242" s="30" t="s">
        <v>656</v>
      </c>
      <c r="E242" s="30" t="s">
        <v>439</v>
      </c>
      <c r="F242" s="30" t="s">
        <v>59</v>
      </c>
      <c r="G242" s="30" t="s">
        <v>24</v>
      </c>
      <c r="H242" s="30" t="str">
        <f>IFERROR(VLOOKUP(TRIM(IF(ISNUMBER(FIND(",", B242)),LEFT(B242,FIND(",",B242)-1),B242)),master!A:B,2,FALSE),"Belum ada mapping")
</f>
        <v>Banten</v>
      </c>
      <c r="I242" s="30">
        <f>IFERROR(__xludf.DUMMYFUNCTION("IF(REGEXMATCH(F242,""Cari Kerja""),1,0)"),0.0)</f>
        <v>0</v>
      </c>
    </row>
    <row r="243">
      <c r="A243" s="11">
        <v>242.0</v>
      </c>
      <c r="B243" s="30" t="s">
        <v>484</v>
      </c>
      <c r="C243" s="30" t="s">
        <v>20</v>
      </c>
      <c r="D243" s="30" t="s">
        <v>21</v>
      </c>
      <c r="E243" s="30" t="s">
        <v>187</v>
      </c>
      <c r="F243" s="30" t="s">
        <v>23</v>
      </c>
      <c r="G243" s="30" t="s">
        <v>24</v>
      </c>
      <c r="H243" s="30" t="str">
        <f>IFERROR(VLOOKUP(TRIM(IF(ISNUMBER(FIND(",", B243)),LEFT(B243,FIND(",",B243)-1),B243)),master!A:B,2,FALSE),"Belum ada mapping")
</f>
        <v>Jawa Tengah</v>
      </c>
      <c r="I243" s="30">
        <f>IFERROR(__xludf.DUMMYFUNCTION("IF(REGEXMATCH(F243,""Cari Kerja""),1,0)"),1.0)</f>
        <v>1</v>
      </c>
    </row>
    <row r="244">
      <c r="A244" s="11">
        <v>243.0</v>
      </c>
      <c r="B244" s="30" t="s">
        <v>92</v>
      </c>
      <c r="C244" s="30" t="s">
        <v>20</v>
      </c>
      <c r="D244" s="30" t="s">
        <v>592</v>
      </c>
      <c r="E244" s="30" t="s">
        <v>51</v>
      </c>
      <c r="F244" s="30" t="s">
        <v>23</v>
      </c>
      <c r="G244" s="30" t="s">
        <v>24</v>
      </c>
      <c r="H244" s="30" t="str">
        <f>IFERROR(VLOOKUP(TRIM(IF(ISNUMBER(FIND(",", B244)),LEFT(B244,FIND(",",B244)-1),B244)),master!A:B,2,FALSE),"Belum ada mapping")
</f>
        <v>Jawa Barat</v>
      </c>
      <c r="I244" s="30">
        <f>IFERROR(__xludf.DUMMYFUNCTION("IF(REGEXMATCH(F244,""Cari Kerja""),1,0)"),1.0)</f>
        <v>1</v>
      </c>
    </row>
    <row r="245">
      <c r="A245" s="11">
        <v>244.0</v>
      </c>
      <c r="B245" s="30" t="s">
        <v>484</v>
      </c>
      <c r="C245" s="30" t="s">
        <v>20</v>
      </c>
      <c r="D245" s="30" t="s">
        <v>1097</v>
      </c>
      <c r="E245" s="30" t="s">
        <v>82</v>
      </c>
      <c r="F245" s="30" t="s">
        <v>23</v>
      </c>
      <c r="G245" s="30" t="s">
        <v>24</v>
      </c>
      <c r="H245" s="30" t="str">
        <f>IFERROR(VLOOKUP(TRIM(IF(ISNUMBER(FIND(",", B245)),LEFT(B245,FIND(",",B245)-1),B245)),master!A:B,2,FALSE),"Belum ada mapping")
</f>
        <v>Jawa Tengah</v>
      </c>
      <c r="I245" s="30">
        <f>IFERROR(__xludf.DUMMYFUNCTION("IF(REGEXMATCH(F245,""Cari Kerja""),1,0)"),1.0)</f>
        <v>1</v>
      </c>
    </row>
    <row r="246">
      <c r="A246" s="11">
        <v>245.0</v>
      </c>
      <c r="B246" s="30" t="s">
        <v>118</v>
      </c>
      <c r="C246" s="30" t="s">
        <v>49</v>
      </c>
      <c r="D246" s="30" t="s">
        <v>1101</v>
      </c>
      <c r="E246" s="30" t="s">
        <v>557</v>
      </c>
      <c r="F246" s="30" t="s">
        <v>59</v>
      </c>
      <c r="G246" s="30" t="s">
        <v>24</v>
      </c>
      <c r="H246" s="30" t="str">
        <f>IFERROR(VLOOKUP(TRIM(IF(ISNUMBER(FIND(",", B246)),LEFT(B246,FIND(",",B246)-1),B246)),master!A:B,2,FALSE),"Belum ada mapping")
</f>
        <v>Jawa Timur</v>
      </c>
      <c r="I246" s="30">
        <f>IFERROR(__xludf.DUMMYFUNCTION("IF(REGEXMATCH(F246,""Cari Kerja""),1,0)"),0.0)</f>
        <v>0</v>
      </c>
    </row>
    <row r="247">
      <c r="A247" s="11">
        <v>246.0</v>
      </c>
      <c r="B247" s="30" t="s">
        <v>92</v>
      </c>
      <c r="C247" s="30" t="s">
        <v>20</v>
      </c>
      <c r="D247" s="30" t="s">
        <v>1105</v>
      </c>
      <c r="E247" s="30" t="s">
        <v>51</v>
      </c>
      <c r="F247" s="30" t="s">
        <v>23</v>
      </c>
      <c r="G247" s="30" t="s">
        <v>24</v>
      </c>
      <c r="H247" s="30" t="str">
        <f>IFERROR(VLOOKUP(TRIM(IF(ISNUMBER(FIND(",", B247)),LEFT(B247,FIND(",",B247)-1),B247)),master!A:B,2,FALSE),"Belum ada mapping")
</f>
        <v>Jawa Barat</v>
      </c>
      <c r="I247" s="30">
        <f>IFERROR(__xludf.DUMMYFUNCTION("IF(REGEXMATCH(F247,""Cari Kerja""),1,0)"),1.0)</f>
        <v>1</v>
      </c>
    </row>
    <row r="248">
      <c r="A248" s="11">
        <v>247.0</v>
      </c>
      <c r="B248" s="30" t="s">
        <v>48</v>
      </c>
      <c r="C248" s="30" t="s">
        <v>20</v>
      </c>
      <c r="D248" s="30" t="s">
        <v>1109</v>
      </c>
      <c r="E248" s="30" t="s">
        <v>1110</v>
      </c>
      <c r="F248" s="30" t="s">
        <v>130</v>
      </c>
      <c r="G248" s="30" t="s">
        <v>24</v>
      </c>
      <c r="H248" s="30" t="str">
        <f>IFERROR(VLOOKUP(TRIM(IF(ISNUMBER(FIND(",", B248)),LEFT(B248,FIND(",",B248)-1),B248)),master!A:B,2,FALSE),"Belum ada mapping")
</f>
        <v>DI Yogyakarta</v>
      </c>
      <c r="I248" s="30">
        <f>IFERROR(__xludf.DUMMYFUNCTION("IF(REGEXMATCH(F248,""Cari Kerja""),1,0)"),1.0)</f>
        <v>1</v>
      </c>
    </row>
    <row r="249">
      <c r="A249" s="11">
        <v>248.0</v>
      </c>
      <c r="B249" s="30" t="s">
        <v>1114</v>
      </c>
      <c r="C249" s="30" t="s">
        <v>20</v>
      </c>
      <c r="D249" s="30" t="s">
        <v>69</v>
      </c>
      <c r="E249" s="30" t="s">
        <v>51</v>
      </c>
      <c r="F249" s="30" t="s">
        <v>23</v>
      </c>
      <c r="G249" s="30" t="s">
        <v>24</v>
      </c>
      <c r="H249" s="30" t="str">
        <f>IFERROR(VLOOKUP(TRIM(IF(ISNUMBER(FIND(",", B249)),LEFT(B249,FIND(",",B249)-1),B249)),master!A:B,2,FALSE),"Belum ada mapping")
</f>
        <v>Sumatera Utara</v>
      </c>
      <c r="I249" s="30">
        <f>IFERROR(__xludf.DUMMYFUNCTION("IF(REGEXMATCH(F249,""Cari Kerja""),1,0)"),1.0)</f>
        <v>1</v>
      </c>
    </row>
    <row r="250">
      <c r="A250" s="11">
        <v>249.0</v>
      </c>
      <c r="B250" s="30" t="s">
        <v>113</v>
      </c>
      <c r="C250" s="30" t="s">
        <v>20</v>
      </c>
      <c r="D250" s="30" t="s">
        <v>1115</v>
      </c>
      <c r="E250" s="30" t="s">
        <v>51</v>
      </c>
      <c r="F250" s="30" t="s">
        <v>23</v>
      </c>
      <c r="G250" s="30" t="s">
        <v>24</v>
      </c>
      <c r="H250" s="30" t="str">
        <f>IFERROR(VLOOKUP(TRIM(IF(ISNUMBER(FIND(",", B250)),LEFT(B250,FIND(",",B250)-1),B250)),master!A:B,2,FALSE),"Belum ada mapping")
</f>
        <v>Sumatera Utara</v>
      </c>
      <c r="I250" s="30">
        <f>IFERROR(__xludf.DUMMYFUNCTION("IF(REGEXMATCH(F250,""Cari Kerja""),1,0)"),1.0)</f>
        <v>1</v>
      </c>
    </row>
    <row r="251">
      <c r="A251" s="11">
        <v>250.0</v>
      </c>
      <c r="B251" s="30" t="s">
        <v>484</v>
      </c>
      <c r="C251" s="30" t="s">
        <v>20</v>
      </c>
      <c r="D251" s="30" t="s">
        <v>1119</v>
      </c>
      <c r="E251" s="30" t="s">
        <v>463</v>
      </c>
      <c r="F251" s="30" t="s">
        <v>13</v>
      </c>
      <c r="G251" s="30" t="s">
        <v>24</v>
      </c>
      <c r="H251" s="30" t="str">
        <f>IFERROR(VLOOKUP(TRIM(IF(ISNUMBER(FIND(",", B251)),LEFT(B251,FIND(",",B251)-1),B251)),master!A:B,2,FALSE),"Belum ada mapping")
</f>
        <v>Jawa Tengah</v>
      </c>
      <c r="I251" s="30">
        <f>IFERROR(__xludf.DUMMYFUNCTION("IF(REGEXMATCH(F251,""Cari Kerja""),1,0)"),0.0)</f>
        <v>0</v>
      </c>
    </row>
    <row r="252">
      <c r="A252" s="11">
        <v>251.0</v>
      </c>
      <c r="B252" s="30" t="s">
        <v>207</v>
      </c>
      <c r="C252" s="30" t="s">
        <v>20</v>
      </c>
      <c r="D252" s="30" t="s">
        <v>1123</v>
      </c>
      <c r="E252" s="30" t="s">
        <v>51</v>
      </c>
      <c r="F252" s="30" t="s">
        <v>130</v>
      </c>
      <c r="G252" s="30" t="s">
        <v>24</v>
      </c>
      <c r="H252" s="30" t="str">
        <f>IFERROR(VLOOKUP(TRIM(IF(ISNUMBER(FIND(",", B252)),LEFT(B252,FIND(",",B252)-1),B252)),master!A:B,2,FALSE),"Belum ada mapping")
</f>
        <v>Jakarta</v>
      </c>
      <c r="I252" s="30">
        <f>IFERROR(__xludf.DUMMYFUNCTION("IF(REGEXMATCH(F252,""Cari Kerja""),1,0)"),1.0)</f>
        <v>1</v>
      </c>
    </row>
    <row r="253">
      <c r="A253" s="11">
        <v>252.0</v>
      </c>
      <c r="B253" s="30" t="s">
        <v>28</v>
      </c>
      <c r="C253" s="30" t="s">
        <v>20</v>
      </c>
      <c r="D253" s="30" t="s">
        <v>1127</v>
      </c>
      <c r="E253" s="30" t="s">
        <v>1128</v>
      </c>
      <c r="F253" s="30" t="s">
        <v>52</v>
      </c>
      <c r="G253" s="30" t="s">
        <v>24</v>
      </c>
      <c r="H253" s="30" t="str">
        <f>IFERROR(VLOOKUP(TRIM(IF(ISNUMBER(FIND(",", B253)),LEFT(B253,FIND(",",B253)-1),B253)),master!A:B,2,FALSE),"Belum ada mapping")
</f>
        <v>Sumatera Barat</v>
      </c>
      <c r="I253" s="30">
        <f>IFERROR(__xludf.DUMMYFUNCTION("IF(REGEXMATCH(F253,""Cari Kerja""),1,0)"),0.0)</f>
        <v>0</v>
      </c>
    </row>
    <row r="254">
      <c r="A254" s="11">
        <v>253.0</v>
      </c>
      <c r="B254" s="30" t="s">
        <v>1132</v>
      </c>
      <c r="C254" s="30" t="s">
        <v>49</v>
      </c>
      <c r="D254" s="30" t="s">
        <v>1133</v>
      </c>
      <c r="E254" s="30" t="s">
        <v>51</v>
      </c>
      <c r="F254" s="30" t="s">
        <v>13</v>
      </c>
      <c r="G254" s="30" t="s">
        <v>24</v>
      </c>
      <c r="H254" s="30" t="str">
        <f>IFERROR(VLOOKUP(TRIM(IF(ISNUMBER(FIND(",", B254)),LEFT(B254,FIND(",",B254)-1),B254)),master!A:B,2,FALSE),"Belum ada mapping")
</f>
        <v>Jawa Timur</v>
      </c>
      <c r="I254" s="30">
        <f>IFERROR(__xludf.DUMMYFUNCTION("IF(REGEXMATCH(F254,""Cari Kerja""),1,0)"),0.0)</f>
        <v>0</v>
      </c>
    </row>
    <row r="255">
      <c r="A255" s="11">
        <v>254.0</v>
      </c>
      <c r="B255" s="30" t="s">
        <v>443</v>
      </c>
      <c r="C255" s="30" t="s">
        <v>49</v>
      </c>
      <c r="D255" s="30" t="s">
        <v>1137</v>
      </c>
      <c r="E255" s="30" t="s">
        <v>225</v>
      </c>
      <c r="F255" s="30" t="s">
        <v>15</v>
      </c>
      <c r="G255" s="30" t="s">
        <v>24</v>
      </c>
      <c r="H255" s="30" t="str">
        <f>IFERROR(VLOOKUP(TRIM(IF(ISNUMBER(FIND(",", B255)),LEFT(B255,FIND(",",B255)-1),B255)),master!A:B,2,FALSE),"Belum ada mapping")
</f>
        <v>Jawa Tengah</v>
      </c>
      <c r="I255" s="30">
        <f>IFERROR(__xludf.DUMMYFUNCTION("IF(REGEXMATCH(F255,""Cari Kerja""),1,0)"),0.0)</f>
        <v>0</v>
      </c>
    </row>
    <row r="256">
      <c r="A256" s="11">
        <v>255.0</v>
      </c>
      <c r="B256" s="30" t="s">
        <v>551</v>
      </c>
      <c r="C256" s="30" t="s">
        <v>20</v>
      </c>
      <c r="D256" s="30" t="s">
        <v>213</v>
      </c>
      <c r="E256" s="30" t="s">
        <v>51</v>
      </c>
      <c r="F256" s="30" t="s">
        <v>23</v>
      </c>
      <c r="G256" s="30" t="s">
        <v>38</v>
      </c>
      <c r="H256" s="30" t="str">
        <f>IFERROR(VLOOKUP(TRIM(IF(ISNUMBER(FIND(",", B256)),LEFT(B256,FIND(",",B256)-1),B256)),master!A:B,2,FALSE),"Belum ada mapping")
</f>
        <v>Jawa Barat</v>
      </c>
      <c r="I256" s="30">
        <f>IFERROR(__xludf.DUMMYFUNCTION("IF(REGEXMATCH(F256,""Cari Kerja""),1,0)"),1.0)</f>
        <v>1</v>
      </c>
    </row>
    <row r="257">
      <c r="A257" s="11">
        <v>256.0</v>
      </c>
      <c r="B257" s="30" t="s">
        <v>551</v>
      </c>
      <c r="C257" s="30" t="s">
        <v>20</v>
      </c>
      <c r="D257" s="30" t="s">
        <v>21</v>
      </c>
      <c r="E257" s="30" t="s">
        <v>1144</v>
      </c>
      <c r="F257" s="30" t="s">
        <v>23</v>
      </c>
      <c r="G257" s="30" t="s">
        <v>76</v>
      </c>
      <c r="H257" s="30" t="str">
        <f>IFERROR(VLOOKUP(TRIM(IF(ISNUMBER(FIND(",", B257)),LEFT(B257,FIND(",",B257)-1),B257)),master!A:B,2,FALSE),"Belum ada mapping")
</f>
        <v>Jawa Barat</v>
      </c>
      <c r="I257" s="30">
        <f>IFERROR(__xludf.DUMMYFUNCTION("IF(REGEXMATCH(F257,""Cari Kerja""),1,0)"),1.0)</f>
        <v>1</v>
      </c>
    </row>
    <row r="258">
      <c r="A258" s="11">
        <v>257.0</v>
      </c>
      <c r="B258" s="30" t="s">
        <v>35</v>
      </c>
      <c r="C258" s="30" t="s">
        <v>20</v>
      </c>
      <c r="D258" s="30" t="s">
        <v>69</v>
      </c>
      <c r="E258" s="30" t="s">
        <v>51</v>
      </c>
      <c r="F258" s="30" t="s">
        <v>23</v>
      </c>
      <c r="G258" s="30" t="s">
        <v>38</v>
      </c>
      <c r="H258" s="30" t="str">
        <f>IFERROR(VLOOKUP(TRIM(IF(ISNUMBER(FIND(",", B258)),LEFT(B258,FIND(",",B258)-1),B258)),master!A:B,2,FALSE),"Belum ada mapping")
</f>
        <v>Jawa Timur</v>
      </c>
      <c r="I258" s="30">
        <f>IFERROR(__xludf.DUMMYFUNCTION("IF(REGEXMATCH(F258,""Cari Kerja""),1,0)"),1.0)</f>
        <v>1</v>
      </c>
    </row>
    <row r="259">
      <c r="A259" s="11">
        <v>258.0</v>
      </c>
      <c r="B259" s="30" t="s">
        <v>1151</v>
      </c>
      <c r="C259" s="30" t="s">
        <v>49</v>
      </c>
      <c r="D259" s="30" t="s">
        <v>229</v>
      </c>
      <c r="E259" s="30" t="s">
        <v>51</v>
      </c>
      <c r="F259" s="30" t="s">
        <v>59</v>
      </c>
      <c r="G259" s="30" t="s">
        <v>24</v>
      </c>
      <c r="H259" s="30" t="str">
        <f>IFERROR(VLOOKUP(TRIM(IF(ISNUMBER(FIND(",", B259)),LEFT(B259,FIND(",",B259)-1),B259)),master!A:B,2,FALSE),"Belum ada mapping")
</f>
        <v>Jawa Barat</v>
      </c>
      <c r="I259" s="30">
        <f>IFERROR(__xludf.DUMMYFUNCTION("IF(REGEXMATCH(F259,""Cari Kerja""),1,0)"),0.0)</f>
        <v>0</v>
      </c>
    </row>
    <row r="260">
      <c r="A260" s="11">
        <v>259.0</v>
      </c>
      <c r="B260" s="30" t="s">
        <v>1155</v>
      </c>
      <c r="C260" s="30" t="s">
        <v>49</v>
      </c>
      <c r="D260" s="30" t="s">
        <v>1156</v>
      </c>
      <c r="E260" s="30" t="s">
        <v>245</v>
      </c>
      <c r="F260" s="30" t="s">
        <v>31</v>
      </c>
      <c r="G260" s="30" t="s">
        <v>38</v>
      </c>
      <c r="H260" s="30" t="str">
        <f>IFERROR(VLOOKUP(TRIM(IF(ISNUMBER(FIND(",", B260)),LEFT(B260,FIND(",",B260)-1),B260)),master!A:B,2,FALSE),"Belum ada mapping")
</f>
        <v>Jawa Barat</v>
      </c>
      <c r="I260" s="30">
        <f>IFERROR(__xludf.DUMMYFUNCTION("IF(REGEXMATCH(F260,""Cari Kerja""),1,0)"),1.0)</f>
        <v>1</v>
      </c>
    </row>
    <row r="261">
      <c r="A261" s="11">
        <v>260.0</v>
      </c>
      <c r="B261" s="30" t="s">
        <v>1160</v>
      </c>
      <c r="C261" s="30" t="s">
        <v>20</v>
      </c>
      <c r="D261" s="30" t="s">
        <v>1161</v>
      </c>
      <c r="E261" s="30" t="s">
        <v>1162</v>
      </c>
      <c r="F261" s="30" t="s">
        <v>130</v>
      </c>
      <c r="G261" s="30" t="s">
        <v>24</v>
      </c>
      <c r="H261" s="30" t="str">
        <f>IFERROR(VLOOKUP(TRIM(IF(ISNUMBER(FIND(",", B261)),LEFT(B261,FIND(",",B261)-1),B261)),master!A:B,2,FALSE),"Belum ada mapping")
</f>
        <v>Jawa Barat</v>
      </c>
      <c r="I261" s="30">
        <f>IFERROR(__xludf.DUMMYFUNCTION("IF(REGEXMATCH(F261,""Cari Kerja""),1,0)"),1.0)</f>
        <v>1</v>
      </c>
    </row>
    <row r="262">
      <c r="A262" s="11">
        <v>261.0</v>
      </c>
      <c r="B262" s="30" t="s">
        <v>837</v>
      </c>
      <c r="C262" s="30" t="s">
        <v>49</v>
      </c>
      <c r="D262" s="30" t="s">
        <v>1166</v>
      </c>
      <c r="E262" s="30" t="s">
        <v>51</v>
      </c>
      <c r="F262" s="30" t="s">
        <v>31</v>
      </c>
      <c r="G262" s="30" t="s">
        <v>24</v>
      </c>
      <c r="H262" s="30" t="str">
        <f>IFERROR(VLOOKUP(TRIM(IF(ISNUMBER(FIND(",", B262)),LEFT(B262,FIND(",",B262)-1),B262)),master!A:B,2,FALSE),"Belum ada mapping")
</f>
        <v>Jawa Barat</v>
      </c>
      <c r="I262" s="30">
        <f>IFERROR(__xludf.DUMMYFUNCTION("IF(REGEXMATCH(F262,""Cari Kerja""),1,0)"),1.0)</f>
        <v>1</v>
      </c>
    </row>
    <row r="263">
      <c r="A263" s="11">
        <v>262.0</v>
      </c>
      <c r="B263" s="30" t="s">
        <v>92</v>
      </c>
      <c r="C263" s="30" t="s">
        <v>20</v>
      </c>
      <c r="D263" s="30" t="s">
        <v>1170</v>
      </c>
      <c r="E263" s="30" t="s">
        <v>351</v>
      </c>
      <c r="F263" s="30" t="s">
        <v>130</v>
      </c>
      <c r="G263" s="30" t="s">
        <v>24</v>
      </c>
      <c r="H263" s="30" t="str">
        <f>IFERROR(VLOOKUP(TRIM(IF(ISNUMBER(FIND(",", B263)),LEFT(B263,FIND(",",B263)-1),B263)),master!A:B,2,FALSE),"Belum ada mapping")
</f>
        <v>Jawa Barat</v>
      </c>
      <c r="I263" s="30">
        <f>IFERROR(__xludf.DUMMYFUNCTION("IF(REGEXMATCH(F263,""Cari Kerja""),1,0)"),1.0)</f>
        <v>1</v>
      </c>
    </row>
    <row r="264">
      <c r="A264" s="11">
        <v>263.0</v>
      </c>
      <c r="B264" s="30" t="s">
        <v>551</v>
      </c>
      <c r="C264" s="30" t="s">
        <v>49</v>
      </c>
      <c r="D264" s="30" t="s">
        <v>1174</v>
      </c>
      <c r="E264" s="30" t="s">
        <v>165</v>
      </c>
      <c r="F264" s="30" t="s">
        <v>31</v>
      </c>
      <c r="G264" s="30" t="s">
        <v>24</v>
      </c>
      <c r="H264" s="30" t="str">
        <f>IFERROR(VLOOKUP(TRIM(IF(ISNUMBER(FIND(",", B264)),LEFT(B264,FIND(",",B264)-1),B264)),master!A:B,2,FALSE),"Belum ada mapping")
</f>
        <v>Jawa Barat</v>
      </c>
      <c r="I264" s="30">
        <f>IFERROR(__xludf.DUMMYFUNCTION("IF(REGEXMATCH(F264,""Cari Kerja""),1,0)"),1.0)</f>
        <v>1</v>
      </c>
    </row>
    <row r="265">
      <c r="A265" s="11">
        <v>264.0</v>
      </c>
      <c r="B265" s="30" t="s">
        <v>1178</v>
      </c>
      <c r="C265" s="30" t="s">
        <v>20</v>
      </c>
      <c r="D265" s="30" t="s">
        <v>1179</v>
      </c>
      <c r="E265" s="30" t="s">
        <v>51</v>
      </c>
      <c r="F265" s="30" t="s">
        <v>15</v>
      </c>
      <c r="G265" s="30" t="s">
        <v>24</v>
      </c>
      <c r="H265" s="30" t="str">
        <f>IFERROR(VLOOKUP(TRIM(IF(ISNUMBER(FIND(",", B265)),LEFT(B265,FIND(",",B265)-1),B265)),master!A:B,2,FALSE),"Belum ada mapping")
</f>
        <v>Jawa Barat</v>
      </c>
      <c r="I265" s="30">
        <f>IFERROR(__xludf.DUMMYFUNCTION("IF(REGEXMATCH(F265,""Cari Kerja""),1,0)"),0.0)</f>
        <v>0</v>
      </c>
    </row>
    <row r="266">
      <c r="A266" s="11">
        <v>265.0</v>
      </c>
      <c r="B266" s="30" t="s">
        <v>207</v>
      </c>
      <c r="C266" s="30" t="s">
        <v>49</v>
      </c>
      <c r="D266" s="30" t="s">
        <v>1183</v>
      </c>
      <c r="E266" s="30" t="s">
        <v>37</v>
      </c>
      <c r="F266" s="30" t="s">
        <v>31</v>
      </c>
      <c r="G266" s="30" t="s">
        <v>24</v>
      </c>
      <c r="H266" s="30" t="str">
        <f>IFERROR(VLOOKUP(TRIM(IF(ISNUMBER(FIND(",", B266)),LEFT(B266,FIND(",",B266)-1),B266)),master!A:B,2,FALSE),"Belum ada mapping")
</f>
        <v>Jakarta</v>
      </c>
      <c r="I266" s="30">
        <f>IFERROR(__xludf.DUMMYFUNCTION("IF(REGEXMATCH(F266,""Cari Kerja""),1,0)"),1.0)</f>
        <v>1</v>
      </c>
    </row>
    <row r="267">
      <c r="A267" s="11">
        <v>266.0</v>
      </c>
      <c r="B267" s="30" t="s">
        <v>414</v>
      </c>
      <c r="C267" s="30" t="s">
        <v>20</v>
      </c>
      <c r="D267" s="30" t="s">
        <v>1187</v>
      </c>
      <c r="E267" s="30" t="s">
        <v>93</v>
      </c>
      <c r="F267" s="30" t="s">
        <v>59</v>
      </c>
      <c r="G267" s="30" t="s">
        <v>24</v>
      </c>
      <c r="H267" s="30" t="str">
        <f>IFERROR(VLOOKUP(TRIM(IF(ISNUMBER(FIND(",", B267)),LEFT(B267,FIND(",",B267)-1),B267)),master!A:B,2,FALSE),"Belum ada mapping")
</f>
        <v>DI Yogyakarta</v>
      </c>
      <c r="I267" s="30">
        <f>IFERROR(__xludf.DUMMYFUNCTION("IF(REGEXMATCH(F267,""Cari Kerja""),1,0)"),0.0)</f>
        <v>0</v>
      </c>
    </row>
    <row r="268">
      <c r="A268" s="11">
        <v>267.0</v>
      </c>
      <c r="B268" s="30" t="s">
        <v>1191</v>
      </c>
      <c r="C268" s="30" t="s">
        <v>49</v>
      </c>
      <c r="D268" s="30" t="s">
        <v>1192</v>
      </c>
      <c r="E268" s="30" t="s">
        <v>30</v>
      </c>
      <c r="F268" s="30" t="s">
        <v>52</v>
      </c>
      <c r="G268" s="30" t="s">
        <v>76</v>
      </c>
      <c r="H268" s="30" t="str">
        <f>IFERROR(VLOOKUP(TRIM(IF(ISNUMBER(FIND(",", B268)),LEFT(B268,FIND(",",B268)-1),B268)),master!A:B,2,FALSE),"Belum ada mapping")
</f>
        <v>Jawa Barat</v>
      </c>
      <c r="I268" s="30">
        <f>IFERROR(__xludf.DUMMYFUNCTION("IF(REGEXMATCH(F268,""Cari Kerja""),1,0)"),0.0)</f>
        <v>0</v>
      </c>
    </row>
    <row r="269">
      <c r="A269" s="11">
        <v>268.0</v>
      </c>
      <c r="B269" s="30" t="s">
        <v>74</v>
      </c>
      <c r="C269" s="30" t="s">
        <v>20</v>
      </c>
      <c r="D269" s="30" t="s">
        <v>1196</v>
      </c>
      <c r="E269" s="30" t="s">
        <v>1197</v>
      </c>
      <c r="F269" s="30" t="s">
        <v>59</v>
      </c>
      <c r="G269" s="30" t="s">
        <v>38</v>
      </c>
      <c r="H269" s="30" t="str">
        <f>IFERROR(VLOOKUP(TRIM(IF(ISNUMBER(FIND(",", B269)),LEFT(B269,FIND(",",B269)-1),B269)),master!A:B,2,FALSE),"Belum ada mapping")
</f>
        <v>Banten</v>
      </c>
      <c r="I269" s="30">
        <f>IFERROR(__xludf.DUMMYFUNCTION("IF(REGEXMATCH(F269,""Cari Kerja""),1,0)"),0.0)</f>
        <v>0</v>
      </c>
    </row>
    <row r="270">
      <c r="A270" s="11">
        <v>269.0</v>
      </c>
      <c r="B270" s="30" t="s">
        <v>1201</v>
      </c>
      <c r="C270" s="30" t="s">
        <v>20</v>
      </c>
      <c r="D270" s="30" t="s">
        <v>1202</v>
      </c>
      <c r="E270" s="30" t="s">
        <v>51</v>
      </c>
      <c r="F270" s="30" t="s">
        <v>23</v>
      </c>
      <c r="G270" s="30" t="s">
        <v>24</v>
      </c>
      <c r="H270" s="30" t="str">
        <f>IFERROR(VLOOKUP(TRIM(IF(ISNUMBER(FIND(",", B270)),LEFT(B270,FIND(",",B270)-1),B270)),master!A:B,2,FALSE),"Belum ada mapping")
</f>
        <v>Sumatera Barat</v>
      </c>
      <c r="I270" s="30">
        <f>IFERROR(__xludf.DUMMYFUNCTION("IF(REGEXMATCH(F270,""Cari Kerja""),1,0)"),1.0)</f>
        <v>1</v>
      </c>
    </row>
    <row r="271">
      <c r="A271" s="11">
        <v>270.0</v>
      </c>
      <c r="B271" s="30" t="s">
        <v>1206</v>
      </c>
      <c r="C271" s="30" t="s">
        <v>49</v>
      </c>
      <c r="D271" s="30" t="s">
        <v>1207</v>
      </c>
      <c r="E271" s="30" t="s">
        <v>1208</v>
      </c>
      <c r="F271" s="30" t="s">
        <v>59</v>
      </c>
      <c r="G271" s="30" t="s">
        <v>24</v>
      </c>
      <c r="H271" s="30" t="str">
        <f>IFERROR(VLOOKUP(TRIM(IF(ISNUMBER(FIND(",", B271)),LEFT(B271,FIND(",",B271)-1),B271)),master!A:B,2,FALSE),"Belum ada mapping")
</f>
        <v>Kalimantan Barat</v>
      </c>
      <c r="I271" s="30">
        <f>IFERROR(__xludf.DUMMYFUNCTION("IF(REGEXMATCH(F271,""Cari Kerja""),1,0)"),0.0)</f>
        <v>0</v>
      </c>
    </row>
    <row r="272">
      <c r="A272" s="11">
        <v>271.0</v>
      </c>
      <c r="B272" s="30" t="s">
        <v>48</v>
      </c>
      <c r="C272" s="30" t="s">
        <v>49</v>
      </c>
      <c r="D272" s="30" t="s">
        <v>1212</v>
      </c>
      <c r="E272" s="30" t="s">
        <v>1213</v>
      </c>
      <c r="F272" s="30" t="s">
        <v>59</v>
      </c>
      <c r="G272" s="30" t="s">
        <v>24</v>
      </c>
      <c r="H272" s="30" t="str">
        <f>IFERROR(VLOOKUP(TRIM(IF(ISNUMBER(FIND(",", B272)),LEFT(B272,FIND(",",B272)-1),B272)),master!A:B,2,FALSE),"Belum ada mapping")
</f>
        <v>DI Yogyakarta</v>
      </c>
      <c r="I272" s="30">
        <f>IFERROR(__xludf.DUMMYFUNCTION("IF(REGEXMATCH(F272,""Cari Kerja""),1,0)"),0.0)</f>
        <v>0</v>
      </c>
    </row>
    <row r="273">
      <c r="A273" s="11">
        <v>272.0</v>
      </c>
      <c r="B273" s="30" t="s">
        <v>28</v>
      </c>
      <c r="C273" s="30" t="s">
        <v>20</v>
      </c>
      <c r="D273" s="30" t="s">
        <v>69</v>
      </c>
      <c r="E273" s="30" t="s">
        <v>225</v>
      </c>
      <c r="F273" s="30" t="s">
        <v>23</v>
      </c>
      <c r="G273" s="30" t="s">
        <v>24</v>
      </c>
      <c r="H273" s="30" t="str">
        <f>IFERROR(VLOOKUP(TRIM(IF(ISNUMBER(FIND(",", B273)),LEFT(B273,FIND(",",B273)-1),B273)),master!A:B,2,FALSE),"Belum ada mapping")
</f>
        <v>Sumatera Barat</v>
      </c>
      <c r="I273" s="30">
        <f>IFERROR(__xludf.DUMMYFUNCTION("IF(REGEXMATCH(F273,""Cari Kerja""),1,0)"),1.0)</f>
        <v>1</v>
      </c>
    </row>
    <row r="274">
      <c r="A274" s="11">
        <v>273.0</v>
      </c>
      <c r="B274" s="30" t="s">
        <v>74</v>
      </c>
      <c r="C274" s="30" t="s">
        <v>49</v>
      </c>
      <c r="D274" s="30" t="s">
        <v>1220</v>
      </c>
      <c r="E274" s="30" t="s">
        <v>950</v>
      </c>
      <c r="F274" s="30" t="s">
        <v>15</v>
      </c>
      <c r="G274" s="30" t="s">
        <v>24</v>
      </c>
      <c r="H274" s="30" t="str">
        <f>IFERROR(VLOOKUP(TRIM(IF(ISNUMBER(FIND(",", B274)),LEFT(B274,FIND(",",B274)-1),B274)),master!A:B,2,FALSE),"Belum ada mapping")
</f>
        <v>Banten</v>
      </c>
      <c r="I274" s="30">
        <f>IFERROR(__xludf.DUMMYFUNCTION("IF(REGEXMATCH(F274,""Cari Kerja""),1,0)"),0.0)</f>
        <v>0</v>
      </c>
    </row>
    <row r="275">
      <c r="A275" s="11">
        <v>274.0</v>
      </c>
      <c r="B275" s="30" t="s">
        <v>1224</v>
      </c>
      <c r="C275" s="30" t="s">
        <v>20</v>
      </c>
      <c r="D275" s="30" t="s">
        <v>1225</v>
      </c>
      <c r="E275" s="30" t="s">
        <v>51</v>
      </c>
      <c r="F275" s="30" t="s">
        <v>31</v>
      </c>
      <c r="G275" s="30" t="s">
        <v>24</v>
      </c>
      <c r="H275" s="30" t="str">
        <f>IFERROR(VLOOKUP(TRIM(IF(ISNUMBER(FIND(",", B275)),LEFT(B275,FIND(",",B275)-1),B275)),master!A:B,2,FALSE),"Belum ada mapping")
</f>
        <v>Sulawesi Tenggara</v>
      </c>
      <c r="I275" s="30">
        <f>IFERROR(__xludf.DUMMYFUNCTION("IF(REGEXMATCH(F275,""Cari Kerja""),1,0)"),1.0)</f>
        <v>1</v>
      </c>
    </row>
    <row r="276">
      <c r="A276" s="11">
        <v>275.0</v>
      </c>
      <c r="B276" s="30" t="s">
        <v>122</v>
      </c>
      <c r="C276" s="30" t="s">
        <v>49</v>
      </c>
      <c r="D276" s="30" t="s">
        <v>1229</v>
      </c>
      <c r="E276" s="30" t="s">
        <v>606</v>
      </c>
      <c r="F276" s="30" t="s">
        <v>968</v>
      </c>
      <c r="G276" s="30" t="s">
        <v>24</v>
      </c>
      <c r="H276" s="30" t="str">
        <f>IFERROR(VLOOKUP(TRIM(IF(ISNUMBER(FIND(",", B276)),LEFT(B276,FIND(",",B276)-1),B276)),master!A:B,2,FALSE),"Belum ada mapping")
</f>
        <v>Sulawesi Selatan</v>
      </c>
      <c r="I276" s="30">
        <f>IFERROR(__xludf.DUMMYFUNCTION("IF(REGEXMATCH(F276,""Cari Kerja""),1,0)"),1.0)</f>
        <v>1</v>
      </c>
    </row>
    <row r="277">
      <c r="A277" s="11">
        <v>276.0</v>
      </c>
      <c r="B277" s="30" t="s">
        <v>97</v>
      </c>
      <c r="C277" s="30" t="s">
        <v>20</v>
      </c>
      <c r="D277" s="30" t="s">
        <v>1233</v>
      </c>
      <c r="E277" s="30" t="s">
        <v>1234</v>
      </c>
      <c r="F277" s="30" t="s">
        <v>23</v>
      </c>
      <c r="G277" s="30" t="s">
        <v>24</v>
      </c>
      <c r="H277" s="30" t="str">
        <f>IFERROR(VLOOKUP(TRIM(IF(ISNUMBER(FIND(",", B277)),LEFT(B277,FIND(",",B277)-1),B277)),master!A:B,2,FALSE),"Belum ada mapping")
</f>
        <v>Jakarta</v>
      </c>
      <c r="I277" s="30">
        <f>IFERROR(__xludf.DUMMYFUNCTION("IF(REGEXMATCH(F277,""Cari Kerja""),1,0)"),1.0)</f>
        <v>1</v>
      </c>
    </row>
    <row r="278">
      <c r="A278" s="11">
        <v>277.0</v>
      </c>
      <c r="B278" s="30" t="s">
        <v>1237</v>
      </c>
      <c r="C278" s="30" t="s">
        <v>49</v>
      </c>
      <c r="D278" s="30" t="s">
        <v>1238</v>
      </c>
      <c r="E278" s="30" t="s">
        <v>51</v>
      </c>
      <c r="F278" s="30" t="s">
        <v>31</v>
      </c>
      <c r="G278" s="30" t="s">
        <v>24</v>
      </c>
      <c r="H278" s="30" t="str">
        <f>IFERROR(VLOOKUP(TRIM(IF(ISNUMBER(FIND(",", B278)),LEFT(B278,FIND(",",B278)-1),B278)),master!A:B,2,FALSE),"Belum ada mapping")
</f>
        <v>Sumatera Utara</v>
      </c>
      <c r="I278" s="30">
        <f>IFERROR(__xludf.DUMMYFUNCTION("IF(REGEXMATCH(F278,""Cari Kerja""),1,0)"),1.0)</f>
        <v>1</v>
      </c>
    </row>
    <row r="279">
      <c r="A279" s="11">
        <v>278.0</v>
      </c>
      <c r="B279" s="30" t="s">
        <v>218</v>
      </c>
      <c r="C279" s="30" t="s">
        <v>49</v>
      </c>
      <c r="D279" s="30" t="s">
        <v>1242</v>
      </c>
      <c r="E279" s="30" t="s">
        <v>346</v>
      </c>
      <c r="F279" s="30" t="s">
        <v>31</v>
      </c>
      <c r="G279" s="30" t="s">
        <v>24</v>
      </c>
      <c r="H279" s="30" t="str">
        <f>IFERROR(VLOOKUP(TRIM(IF(ISNUMBER(FIND(",", B279)),LEFT(B279,FIND(",",B279)-1),B279)),master!A:B,2,FALSE),"Belum ada mapping")
</f>
        <v>Banten</v>
      </c>
      <c r="I279" s="30">
        <f>IFERROR(__xludf.DUMMYFUNCTION("IF(REGEXMATCH(F279,""Cari Kerja""),1,0)"),1.0)</f>
        <v>1</v>
      </c>
    </row>
    <row r="280">
      <c r="A280" s="11">
        <v>279.0</v>
      </c>
      <c r="B280" s="30" t="s">
        <v>266</v>
      </c>
      <c r="C280" s="30" t="s">
        <v>20</v>
      </c>
      <c r="D280" s="30" t="s">
        <v>1246</v>
      </c>
      <c r="E280" s="30" t="s">
        <v>176</v>
      </c>
      <c r="F280" s="30" t="s">
        <v>13</v>
      </c>
      <c r="G280" s="30" t="s">
        <v>38</v>
      </c>
      <c r="H280" s="30" t="str">
        <f>IFERROR(VLOOKUP(TRIM(IF(ISNUMBER(FIND(",", B280)),LEFT(B280,FIND(",",B280)-1),B280)),master!A:B,2,FALSE),"Belum ada mapping")
</f>
        <v>Jawa Tengah</v>
      </c>
      <c r="I280" s="30">
        <f>IFERROR(__xludf.DUMMYFUNCTION("IF(REGEXMATCH(F280,""Cari Kerja""),1,0)"),0.0)</f>
        <v>0</v>
      </c>
    </row>
    <row r="281">
      <c r="A281" s="11">
        <v>280.0</v>
      </c>
      <c r="B281" s="30" t="s">
        <v>1250</v>
      </c>
      <c r="C281" s="30" t="s">
        <v>49</v>
      </c>
      <c r="D281" s="30" t="s">
        <v>1251</v>
      </c>
      <c r="E281" s="30" t="s">
        <v>51</v>
      </c>
      <c r="F281" s="30" t="s">
        <v>52</v>
      </c>
      <c r="G281" s="30" t="s">
        <v>24</v>
      </c>
      <c r="H281" s="30" t="str">
        <f>IFERROR(VLOOKUP(TRIM(IF(ISNUMBER(FIND(",", B281)),LEFT(B281,FIND(",",B281)-1),B281)),master!A:B,2,FALSE),"Belum ada mapping")
</f>
        <v>Jawa Barat</v>
      </c>
      <c r="I281" s="30">
        <f>IFERROR(__xludf.DUMMYFUNCTION("IF(REGEXMATCH(F281,""Cari Kerja""),1,0)"),0.0)</f>
        <v>0</v>
      </c>
    </row>
    <row r="282">
      <c r="A282" s="11">
        <v>281.0</v>
      </c>
      <c r="B282" s="30" t="s">
        <v>74</v>
      </c>
      <c r="C282" s="30" t="s">
        <v>49</v>
      </c>
      <c r="D282" s="30" t="s">
        <v>1255</v>
      </c>
      <c r="E282" s="30" t="s">
        <v>1256</v>
      </c>
      <c r="F282" s="30" t="s">
        <v>968</v>
      </c>
      <c r="G282" s="30" t="s">
        <v>76</v>
      </c>
      <c r="H282" s="30" t="str">
        <f>IFERROR(VLOOKUP(TRIM(IF(ISNUMBER(FIND(",", B282)),LEFT(B282,FIND(",",B282)-1),B282)),master!A:B,2,FALSE),"Belum ada mapping")
</f>
        <v>Banten</v>
      </c>
      <c r="I282" s="30">
        <f>IFERROR(__xludf.DUMMYFUNCTION("IF(REGEXMATCH(F282,""Cari Kerja""),1,0)"),1.0)</f>
        <v>1</v>
      </c>
    </row>
    <row r="283">
      <c r="A283" s="11">
        <v>282.0</v>
      </c>
      <c r="B283" s="30" t="s">
        <v>1260</v>
      </c>
      <c r="C283" s="30" t="s">
        <v>20</v>
      </c>
      <c r="D283" s="30" t="s">
        <v>21</v>
      </c>
      <c r="E283" s="30" t="s">
        <v>170</v>
      </c>
      <c r="F283" s="30" t="s">
        <v>13</v>
      </c>
      <c r="G283" s="30" t="s">
        <v>24</v>
      </c>
      <c r="H283" s="30" t="str">
        <f>IFERROR(VLOOKUP(TRIM(IF(ISNUMBER(FIND(",", B283)),LEFT(B283,FIND(",",B283)-1),B283)),master!A:B,2,FALSE),"Belum ada mapping")
</f>
        <v>Jawa Barat</v>
      </c>
      <c r="I283" s="30">
        <f>IFERROR(__xludf.DUMMYFUNCTION("IF(REGEXMATCH(F283,""Cari Kerja""),1,0)"),0.0)</f>
        <v>0</v>
      </c>
    </row>
    <row r="284">
      <c r="A284" s="11">
        <v>283.0</v>
      </c>
      <c r="B284" s="30" t="s">
        <v>92</v>
      </c>
      <c r="C284" s="30" t="s">
        <v>49</v>
      </c>
      <c r="D284" s="30" t="s">
        <v>1264</v>
      </c>
      <c r="E284" s="30" t="s">
        <v>51</v>
      </c>
      <c r="F284" s="30" t="s">
        <v>52</v>
      </c>
      <c r="G284" s="30" t="s">
        <v>24</v>
      </c>
      <c r="H284" s="30" t="str">
        <f>IFERROR(VLOOKUP(TRIM(IF(ISNUMBER(FIND(",", B284)),LEFT(B284,FIND(",",B284)-1),B284)),master!A:B,2,FALSE),"Belum ada mapping")
</f>
        <v>Jawa Barat</v>
      </c>
      <c r="I284" s="30">
        <f>IFERROR(__xludf.DUMMYFUNCTION("IF(REGEXMATCH(F284,""Cari Kerja""),1,0)"),0.0)</f>
        <v>0</v>
      </c>
    </row>
    <row r="285">
      <c r="A285" s="11">
        <v>284.0</v>
      </c>
      <c r="B285" s="30" t="s">
        <v>1010</v>
      </c>
      <c r="C285" s="30" t="s">
        <v>20</v>
      </c>
      <c r="D285" s="30" t="s">
        <v>1268</v>
      </c>
      <c r="E285" s="30" t="s">
        <v>82</v>
      </c>
      <c r="F285" s="30" t="s">
        <v>23</v>
      </c>
      <c r="G285" s="30" t="s">
        <v>24</v>
      </c>
      <c r="H285" s="30" t="str">
        <f>IFERROR(VLOOKUP(TRIM(IF(ISNUMBER(FIND(",", B285)),LEFT(B285,FIND(",",B285)-1),B285)),master!A:B,2,FALSE),"Belum ada mapping")
</f>
        <v>Jawa Barat</v>
      </c>
      <c r="I285" s="30">
        <f>IFERROR(__xludf.DUMMYFUNCTION("IF(REGEXMATCH(F285,""Cari Kerja""),1,0)"),1.0)</f>
        <v>1</v>
      </c>
    </row>
    <row r="286">
      <c r="A286" s="11">
        <v>285.0</v>
      </c>
      <c r="B286" s="30" t="s">
        <v>151</v>
      </c>
      <c r="C286" s="30" t="s">
        <v>20</v>
      </c>
      <c r="D286" s="30" t="s">
        <v>1068</v>
      </c>
      <c r="E286" s="30" t="s">
        <v>209</v>
      </c>
      <c r="F286" s="30" t="s">
        <v>130</v>
      </c>
      <c r="G286" s="30" t="s">
        <v>24</v>
      </c>
      <c r="H286" s="30" t="str">
        <f>IFERROR(VLOOKUP(TRIM(IF(ISNUMBER(FIND(",", B286)),LEFT(B286,FIND(",",B286)-1),B286)),master!A:B,2,FALSE),"Belum ada mapping")
</f>
        <v>Riau</v>
      </c>
      <c r="I286" s="30">
        <f>IFERROR(__xludf.DUMMYFUNCTION("IF(REGEXMATCH(F286,""Cari Kerja""),1,0)"),1.0)</f>
        <v>1</v>
      </c>
    </row>
    <row r="287">
      <c r="A287" s="11">
        <v>286.0</v>
      </c>
      <c r="B287" s="30" t="s">
        <v>1275</v>
      </c>
      <c r="C287" s="30" t="s">
        <v>20</v>
      </c>
      <c r="D287" s="30" t="s">
        <v>1276</v>
      </c>
      <c r="E287" s="30" t="s">
        <v>51</v>
      </c>
      <c r="F287" s="30" t="s">
        <v>23</v>
      </c>
      <c r="G287" s="30" t="s">
        <v>24</v>
      </c>
      <c r="H287" s="30" t="str">
        <f>IFERROR(VLOOKUP(TRIM(IF(ISNUMBER(FIND(",", B287)),LEFT(B287,FIND(",",B287)-1),B287)),master!A:B,2,FALSE),"Belum ada mapping")
</f>
        <v>Jawa Barat</v>
      </c>
      <c r="I287" s="30">
        <f>IFERROR(__xludf.DUMMYFUNCTION("IF(REGEXMATCH(F287,""Cari Kerja""),1,0)"),1.0)</f>
        <v>1</v>
      </c>
    </row>
    <row r="288">
      <c r="A288" s="11">
        <v>287.0</v>
      </c>
      <c r="B288" s="30" t="s">
        <v>1280</v>
      </c>
      <c r="C288" s="30" t="s">
        <v>49</v>
      </c>
      <c r="D288" s="30" t="s">
        <v>1281</v>
      </c>
      <c r="E288" s="30" t="s">
        <v>1282</v>
      </c>
      <c r="F288" s="30" t="s">
        <v>13</v>
      </c>
      <c r="G288" s="30" t="s">
        <v>24</v>
      </c>
      <c r="H288" s="30" t="str">
        <f>IFERROR(VLOOKUP(TRIM(IF(ISNUMBER(FIND(",", B288)),LEFT(B288,FIND(",",B288)-1),B288)),master!A:B,2,FALSE),"Belum ada mapping")
</f>
        <v>Kalimantan Timur</v>
      </c>
      <c r="I288" s="30">
        <f>IFERROR(__xludf.DUMMYFUNCTION("IF(REGEXMATCH(F288,""Cari Kerja""),1,0)"),0.0)</f>
        <v>0</v>
      </c>
    </row>
    <row r="289">
      <c r="A289" s="11">
        <v>288.0</v>
      </c>
      <c r="B289" s="30" t="s">
        <v>92</v>
      </c>
      <c r="C289" s="30" t="s">
        <v>49</v>
      </c>
      <c r="D289" s="30" t="s">
        <v>1286</v>
      </c>
      <c r="E289" s="30" t="s">
        <v>51</v>
      </c>
      <c r="F289" s="30" t="s">
        <v>31</v>
      </c>
      <c r="G289" s="30" t="s">
        <v>38</v>
      </c>
      <c r="H289" s="30" t="str">
        <f>IFERROR(VLOOKUP(TRIM(IF(ISNUMBER(FIND(",", B289)),LEFT(B289,FIND(",",B289)-1),B289)),master!A:B,2,FALSE),"Belum ada mapping")
</f>
        <v>Jawa Barat</v>
      </c>
      <c r="I289" s="30">
        <f>IFERROR(__xludf.DUMMYFUNCTION("IF(REGEXMATCH(F289,""Cari Kerja""),1,0)"),1.0)</f>
        <v>1</v>
      </c>
    </row>
    <row r="290">
      <c r="A290" s="11">
        <v>289.0</v>
      </c>
      <c r="B290" s="30" t="s">
        <v>158</v>
      </c>
      <c r="C290" s="30" t="s">
        <v>49</v>
      </c>
      <c r="D290" s="30" t="s">
        <v>1290</v>
      </c>
      <c r="E290" s="30" t="s">
        <v>51</v>
      </c>
      <c r="F290" s="30" t="s">
        <v>23</v>
      </c>
      <c r="G290" s="30" t="s">
        <v>24</v>
      </c>
      <c r="H290" s="30" t="str">
        <f>IFERROR(VLOOKUP(TRIM(IF(ISNUMBER(FIND(",", B290)),LEFT(B290,FIND(",",B290)-1),B290)),master!A:B,2,FALSE),"Belum ada mapping")
</f>
        <v>Jawa Barat</v>
      </c>
      <c r="I290" s="30">
        <f>IFERROR(__xludf.DUMMYFUNCTION("IF(REGEXMATCH(F290,""Cari Kerja""),1,0)"),1.0)</f>
        <v>1</v>
      </c>
    </row>
    <row r="291">
      <c r="A291" s="11">
        <v>290.0</v>
      </c>
      <c r="B291" s="30" t="s">
        <v>158</v>
      </c>
      <c r="C291" s="30" t="s">
        <v>49</v>
      </c>
      <c r="D291" s="30" t="s">
        <v>1293</v>
      </c>
      <c r="E291" s="30" t="s">
        <v>1294</v>
      </c>
      <c r="F291" s="30" t="s">
        <v>23</v>
      </c>
      <c r="G291" s="30" t="s">
        <v>24</v>
      </c>
      <c r="H291" s="30" t="str">
        <f>IFERROR(VLOOKUP(TRIM(IF(ISNUMBER(FIND(",", B291)),LEFT(B291,FIND(",",B291)-1),B291)),master!A:B,2,FALSE),"Belum ada mapping")
</f>
        <v>Jawa Barat</v>
      </c>
      <c r="I291" s="30">
        <f>IFERROR(__xludf.DUMMYFUNCTION("IF(REGEXMATCH(F291,""Cari Kerja""),1,0)"),1.0)</f>
        <v>1</v>
      </c>
    </row>
    <row r="292">
      <c r="A292" s="11">
        <v>291.0</v>
      </c>
      <c r="B292" s="30" t="s">
        <v>1298</v>
      </c>
      <c r="C292" s="30" t="s">
        <v>20</v>
      </c>
      <c r="D292" s="30" t="s">
        <v>780</v>
      </c>
      <c r="E292" s="30" t="s">
        <v>370</v>
      </c>
      <c r="F292" s="30" t="s">
        <v>109</v>
      </c>
      <c r="G292" s="30" t="s">
        <v>38</v>
      </c>
      <c r="H292" s="30" t="str">
        <f>IFERROR(VLOOKUP(TRIM(IF(ISNUMBER(FIND(",", B292)),LEFT(B292,FIND(",",B292)-1),B292)),master!A:B,2,FALSE),"Belum ada mapping")
</f>
        <v>Jawa Timur</v>
      </c>
      <c r="I292" s="30">
        <f>IFERROR(__xludf.DUMMYFUNCTION("IF(REGEXMATCH(F292,""Cari Kerja""),1,0)"),1.0)</f>
        <v>1</v>
      </c>
    </row>
    <row r="293">
      <c r="A293" s="11">
        <v>292.0</v>
      </c>
      <c r="B293" s="30" t="s">
        <v>48</v>
      </c>
      <c r="C293" s="30" t="s">
        <v>20</v>
      </c>
      <c r="D293" s="30" t="s">
        <v>1302</v>
      </c>
      <c r="E293" s="30" t="s">
        <v>160</v>
      </c>
      <c r="F293" s="30" t="s">
        <v>23</v>
      </c>
      <c r="G293" s="30" t="s">
        <v>24</v>
      </c>
      <c r="H293" s="30" t="str">
        <f>IFERROR(VLOOKUP(TRIM(IF(ISNUMBER(FIND(",", B293)),LEFT(B293,FIND(",",B293)-1),B293)),master!A:B,2,FALSE),"Belum ada mapping")
</f>
        <v>DI Yogyakarta</v>
      </c>
      <c r="I293" s="30">
        <f>IFERROR(__xludf.DUMMYFUNCTION("IF(REGEXMATCH(F293,""Cari Kerja""),1,0)"),1.0)</f>
        <v>1</v>
      </c>
    </row>
    <row r="294">
      <c r="A294" s="11">
        <v>293.0</v>
      </c>
      <c r="B294" s="30" t="s">
        <v>1306</v>
      </c>
      <c r="C294" s="30" t="s">
        <v>49</v>
      </c>
      <c r="D294" s="30" t="s">
        <v>1307</v>
      </c>
      <c r="E294" s="30" t="s">
        <v>93</v>
      </c>
      <c r="F294" s="30" t="s">
        <v>52</v>
      </c>
      <c r="G294" s="30" t="s">
        <v>24</v>
      </c>
      <c r="H294" s="30" t="str">
        <f>IFERROR(VLOOKUP(TRIM(IF(ISNUMBER(FIND(",", B294)),LEFT(B294,FIND(",",B294)-1),B294)),master!A:B,2,FALSE),"Belum ada mapping")
</f>
        <v>Jawa Timur</v>
      </c>
      <c r="I294" s="30">
        <f>IFERROR(__xludf.DUMMYFUNCTION("IF(REGEXMATCH(F294,""Cari Kerja""),1,0)"),0.0)</f>
        <v>0</v>
      </c>
    </row>
    <row r="295">
      <c r="A295" s="11">
        <v>294.0</v>
      </c>
      <c r="B295" s="30" t="s">
        <v>596</v>
      </c>
      <c r="C295" s="30" t="s">
        <v>49</v>
      </c>
      <c r="D295" s="30" t="s">
        <v>1308</v>
      </c>
      <c r="E295" s="30" t="s">
        <v>709</v>
      </c>
      <c r="F295" s="30" t="s">
        <v>154</v>
      </c>
      <c r="G295" s="30" t="s">
        <v>24</v>
      </c>
      <c r="H295" s="30" t="str">
        <f>IFERROR(VLOOKUP(TRIM(IF(ISNUMBER(FIND(",", B295)),LEFT(B295,FIND(",",B295)-1),B295)),master!A:B,2,FALSE),"Belum ada mapping")
</f>
        <v>Jawa Timur</v>
      </c>
      <c r="I295" s="30">
        <f>IFERROR(__xludf.DUMMYFUNCTION("IF(REGEXMATCH(F295,""Cari Kerja""),1,0)"),0.0)</f>
        <v>0</v>
      </c>
    </row>
    <row r="296">
      <c r="A296" s="11">
        <v>295.0</v>
      </c>
      <c r="B296" s="30" t="s">
        <v>158</v>
      </c>
      <c r="C296" s="30" t="s">
        <v>49</v>
      </c>
      <c r="D296" s="30" t="s">
        <v>1312</v>
      </c>
      <c r="E296" s="30" t="s">
        <v>51</v>
      </c>
      <c r="F296" s="30" t="s">
        <v>52</v>
      </c>
      <c r="G296" s="30" t="s">
        <v>24</v>
      </c>
      <c r="H296" s="30" t="str">
        <f>IFERROR(VLOOKUP(TRIM(IF(ISNUMBER(FIND(",", B296)),LEFT(B296,FIND(",",B296)-1),B296)),master!A:B,2,FALSE),"Belum ada mapping")
</f>
        <v>Jawa Barat</v>
      </c>
      <c r="I296" s="30">
        <f>IFERROR(__xludf.DUMMYFUNCTION("IF(REGEXMATCH(F296,""Cari Kerja""),1,0)"),0.0)</f>
        <v>0</v>
      </c>
    </row>
    <row r="297">
      <c r="A297" s="11">
        <v>296.0</v>
      </c>
      <c r="B297" s="30" t="s">
        <v>207</v>
      </c>
      <c r="C297" s="30" t="s">
        <v>20</v>
      </c>
      <c r="D297" s="30" t="s">
        <v>69</v>
      </c>
      <c r="E297" s="30" t="s">
        <v>1316</v>
      </c>
      <c r="F297" s="30" t="s">
        <v>13</v>
      </c>
      <c r="G297" s="30" t="s">
        <v>24</v>
      </c>
      <c r="H297" s="30" t="str">
        <f>IFERROR(VLOOKUP(TRIM(IF(ISNUMBER(FIND(",", B297)),LEFT(B297,FIND(",",B297)-1),B297)),master!A:B,2,FALSE),"Belum ada mapping")
</f>
        <v>Jakarta</v>
      </c>
      <c r="I297" s="30">
        <f>IFERROR(__xludf.DUMMYFUNCTION("IF(REGEXMATCH(F297,""Cari Kerja""),1,0)"),0.0)</f>
        <v>0</v>
      </c>
    </row>
    <row r="298">
      <c r="A298" s="11">
        <v>297.0</v>
      </c>
      <c r="B298" s="30" t="s">
        <v>1178</v>
      </c>
      <c r="C298" s="30" t="s">
        <v>20</v>
      </c>
      <c r="D298" s="30" t="s">
        <v>1320</v>
      </c>
      <c r="E298" s="30" t="s">
        <v>30</v>
      </c>
      <c r="F298" s="30" t="s">
        <v>130</v>
      </c>
      <c r="G298" s="30" t="s">
        <v>24</v>
      </c>
      <c r="H298" s="30" t="str">
        <f>IFERROR(VLOOKUP(TRIM(IF(ISNUMBER(FIND(",", B298)),LEFT(B298,FIND(",",B298)-1),B298)),master!A:B,2,FALSE),"Belum ada mapping")
</f>
        <v>Jawa Barat</v>
      </c>
      <c r="I298" s="30">
        <f>IFERROR(__xludf.DUMMYFUNCTION("IF(REGEXMATCH(F298,""Cari Kerja""),1,0)"),1.0)</f>
        <v>1</v>
      </c>
    </row>
    <row r="299">
      <c r="A299" s="11">
        <v>298.0</v>
      </c>
      <c r="B299" s="30" t="s">
        <v>158</v>
      </c>
      <c r="C299" s="30" t="s">
        <v>49</v>
      </c>
      <c r="D299" s="30" t="s">
        <v>1324</v>
      </c>
      <c r="E299" s="30" t="s">
        <v>225</v>
      </c>
      <c r="F299" s="30" t="s">
        <v>31</v>
      </c>
      <c r="G299" s="30" t="s">
        <v>24</v>
      </c>
      <c r="H299" s="30" t="str">
        <f>IFERROR(VLOOKUP(TRIM(IF(ISNUMBER(FIND(",", B299)),LEFT(B299,FIND(",",B299)-1),B299)),master!A:B,2,FALSE),"Belum ada mapping")
</f>
        <v>Jawa Barat</v>
      </c>
      <c r="I299" s="30">
        <f>IFERROR(__xludf.DUMMYFUNCTION("IF(REGEXMATCH(F299,""Cari Kerja""),1,0)"),1.0)</f>
        <v>1</v>
      </c>
    </row>
    <row r="300">
      <c r="A300" s="11">
        <v>299.0</v>
      </c>
      <c r="B300" s="30" t="s">
        <v>35</v>
      </c>
      <c r="C300" s="30" t="s">
        <v>49</v>
      </c>
      <c r="D300" s="30" t="s">
        <v>69</v>
      </c>
      <c r="E300" s="30" t="s">
        <v>170</v>
      </c>
      <c r="F300" s="30" t="s">
        <v>13</v>
      </c>
      <c r="G300" s="30" t="s">
        <v>24</v>
      </c>
      <c r="H300" s="30" t="str">
        <f>IFERROR(VLOOKUP(TRIM(IF(ISNUMBER(FIND(",", B300)),LEFT(B300,FIND(",",B300)-1),B300)),master!A:B,2,FALSE),"Belum ada mapping")
</f>
        <v>Jawa Timur</v>
      </c>
      <c r="I300" s="30">
        <f>IFERROR(__xludf.DUMMYFUNCTION("IF(REGEXMATCH(F300,""Cari Kerja""),1,0)"),0.0)</f>
        <v>0</v>
      </c>
    </row>
    <row r="301">
      <c r="A301" s="11">
        <v>300.0</v>
      </c>
      <c r="B301" s="30" t="s">
        <v>218</v>
      </c>
      <c r="C301" s="30" t="s">
        <v>20</v>
      </c>
      <c r="D301" s="30" t="s">
        <v>1331</v>
      </c>
      <c r="E301" s="30" t="s">
        <v>37</v>
      </c>
      <c r="F301" s="30" t="s">
        <v>23</v>
      </c>
      <c r="G301" s="30" t="s">
        <v>24</v>
      </c>
      <c r="H301" s="30" t="str">
        <f>IFERROR(VLOOKUP(TRIM(IF(ISNUMBER(FIND(",", B301)),LEFT(B301,FIND(",",B301)-1),B301)),master!A:B,2,FALSE),"Belum ada mapping")
</f>
        <v>Banten</v>
      </c>
      <c r="I301" s="30">
        <f>IFERROR(__xludf.DUMMYFUNCTION("IF(REGEXMATCH(F301,""Cari Kerja""),1,0)"),1.0)</f>
        <v>1</v>
      </c>
    </row>
    <row r="302">
      <c r="A302" s="11">
        <v>301.0</v>
      </c>
      <c r="B302" s="30" t="s">
        <v>218</v>
      </c>
      <c r="C302" s="30" t="s">
        <v>49</v>
      </c>
      <c r="D302" s="30" t="s">
        <v>1332</v>
      </c>
      <c r="E302" s="30" t="s">
        <v>37</v>
      </c>
      <c r="F302" s="30" t="s">
        <v>23</v>
      </c>
      <c r="G302" s="30" t="s">
        <v>24</v>
      </c>
      <c r="H302" s="30" t="str">
        <f>IFERROR(VLOOKUP(TRIM(IF(ISNUMBER(FIND(",", B302)),LEFT(B302,FIND(",",B302)-1),B302)),master!A:B,2,FALSE),"Belum ada mapping")
</f>
        <v>Banten</v>
      </c>
      <c r="I302" s="30">
        <f>IFERROR(__xludf.DUMMYFUNCTION("IF(REGEXMATCH(F302,""Cari Kerja""),1,0)"),1.0)</f>
        <v>1</v>
      </c>
    </row>
    <row r="303">
      <c r="A303" s="11">
        <v>302.0</v>
      </c>
      <c r="B303" s="30" t="s">
        <v>92</v>
      </c>
      <c r="C303" s="30" t="s">
        <v>20</v>
      </c>
      <c r="D303" s="30" t="s">
        <v>1336</v>
      </c>
      <c r="E303" s="30" t="s">
        <v>51</v>
      </c>
      <c r="F303" s="30" t="s">
        <v>23</v>
      </c>
      <c r="G303" s="30" t="s">
        <v>24</v>
      </c>
      <c r="H303" s="30" t="str">
        <f>IFERROR(VLOOKUP(TRIM(IF(ISNUMBER(FIND(",", B303)),LEFT(B303,FIND(",",B303)-1),B303)),master!A:B,2,FALSE),"Belum ada mapping")
</f>
        <v>Jawa Barat</v>
      </c>
      <c r="I303" s="30">
        <f>IFERROR(__xludf.DUMMYFUNCTION("IF(REGEXMATCH(F303,""Cari Kerja""),1,0)"),1.0)</f>
        <v>1</v>
      </c>
    </row>
    <row r="304">
      <c r="A304" s="11">
        <v>303.0</v>
      </c>
      <c r="B304" s="30" t="s">
        <v>825</v>
      </c>
      <c r="C304" s="30" t="s">
        <v>49</v>
      </c>
      <c r="D304" s="30" t="s">
        <v>1340</v>
      </c>
      <c r="E304" s="30" t="s">
        <v>51</v>
      </c>
      <c r="F304" s="30" t="s">
        <v>154</v>
      </c>
      <c r="G304" s="30" t="s">
        <v>24</v>
      </c>
      <c r="H304" s="30" t="str">
        <f>IFERROR(VLOOKUP(TRIM(IF(ISNUMBER(FIND(",", B304)),LEFT(B304,FIND(",",B304)-1),B304)),master!A:B,2,FALSE),"Belum ada mapping")
</f>
        <v>Jawa Barat</v>
      </c>
      <c r="I304" s="30">
        <f>IFERROR(__xludf.DUMMYFUNCTION("IF(REGEXMATCH(F304,""Cari Kerja""),1,0)"),0.0)</f>
        <v>0</v>
      </c>
    </row>
    <row r="305">
      <c r="A305" s="11">
        <v>304.0</v>
      </c>
      <c r="B305" s="30" t="s">
        <v>74</v>
      </c>
      <c r="C305" s="30" t="s">
        <v>49</v>
      </c>
      <c r="D305" s="30" t="s">
        <v>945</v>
      </c>
      <c r="E305" s="30" t="s">
        <v>93</v>
      </c>
      <c r="F305" s="30" t="s">
        <v>59</v>
      </c>
      <c r="G305" s="30" t="s">
        <v>24</v>
      </c>
      <c r="H305" s="30" t="str">
        <f>IFERROR(VLOOKUP(TRIM(IF(ISNUMBER(FIND(",", B305)),LEFT(B305,FIND(",",B305)-1),B305)),master!A:B,2,FALSE),"Belum ada mapping")
</f>
        <v>Banten</v>
      </c>
      <c r="I305" s="30">
        <f>IFERROR(__xludf.DUMMYFUNCTION("IF(REGEXMATCH(F305,""Cari Kerja""),1,0)"),0.0)</f>
        <v>0</v>
      </c>
    </row>
    <row r="306">
      <c r="A306" s="11">
        <v>305.0</v>
      </c>
      <c r="B306" s="30" t="s">
        <v>1347</v>
      </c>
      <c r="C306" s="30" t="s">
        <v>49</v>
      </c>
      <c r="D306" s="30" t="s">
        <v>1348</v>
      </c>
      <c r="E306" s="30" t="s">
        <v>153</v>
      </c>
      <c r="F306" s="30" t="s">
        <v>13</v>
      </c>
      <c r="G306" s="30" t="s">
        <v>38</v>
      </c>
      <c r="H306" s="30" t="str">
        <f>IFERROR(VLOOKUP(TRIM(IF(ISNUMBER(FIND(",", B306)),LEFT(B306,FIND(",",B306)-1),B306)),master!A:B,2,FALSE),"Belum ada mapping")
</f>
        <v>Jawa Barat</v>
      </c>
      <c r="I306" s="30">
        <f>IFERROR(__xludf.DUMMYFUNCTION("IF(REGEXMATCH(F306,""Cari Kerja""),1,0)"),0.0)</f>
        <v>0</v>
      </c>
    </row>
    <row r="307">
      <c r="A307" s="11">
        <v>306.0</v>
      </c>
      <c r="B307" s="30" t="s">
        <v>35</v>
      </c>
      <c r="C307" s="30" t="s">
        <v>49</v>
      </c>
      <c r="D307" s="30" t="s">
        <v>1352</v>
      </c>
      <c r="E307" s="30" t="s">
        <v>1353</v>
      </c>
      <c r="F307" s="30" t="s">
        <v>109</v>
      </c>
      <c r="G307" s="30" t="s">
        <v>24</v>
      </c>
      <c r="H307" s="30" t="str">
        <f>IFERROR(VLOOKUP(TRIM(IF(ISNUMBER(FIND(",", B307)),LEFT(B307,FIND(",",B307)-1),B307)),master!A:B,2,FALSE),"Belum ada mapping")
</f>
        <v>Jawa Timur</v>
      </c>
      <c r="I307" s="30">
        <f>IFERROR(__xludf.DUMMYFUNCTION("IF(REGEXMATCH(F307,""Cari Kerja""),1,0)"),1.0)</f>
        <v>1</v>
      </c>
    </row>
    <row r="308">
      <c r="A308" s="11">
        <v>307.0</v>
      </c>
      <c r="B308" s="30" t="s">
        <v>35</v>
      </c>
      <c r="C308" s="30" t="s">
        <v>20</v>
      </c>
      <c r="D308" s="30" t="s">
        <v>1357</v>
      </c>
      <c r="E308" s="30" t="s">
        <v>198</v>
      </c>
      <c r="F308" s="30" t="s">
        <v>31</v>
      </c>
      <c r="G308" s="30" t="s">
        <v>24</v>
      </c>
      <c r="H308" s="30" t="str">
        <f>IFERROR(VLOOKUP(TRIM(IF(ISNUMBER(FIND(",", B308)),LEFT(B308,FIND(",",B308)-1),B308)),master!A:B,2,FALSE),"Belum ada mapping")
</f>
        <v>Jawa Timur</v>
      </c>
      <c r="I308" s="30">
        <f>IFERROR(__xludf.DUMMYFUNCTION("IF(REGEXMATCH(F308,""Cari Kerja""),1,0)"),1.0)</f>
        <v>1</v>
      </c>
    </row>
    <row r="309">
      <c r="A309" s="11">
        <v>308.0</v>
      </c>
      <c r="B309" s="30" t="s">
        <v>1361</v>
      </c>
      <c r="C309" s="30" t="s">
        <v>49</v>
      </c>
      <c r="D309" s="30" t="s">
        <v>1362</v>
      </c>
      <c r="E309" s="30" t="s">
        <v>1316</v>
      </c>
      <c r="F309" s="30" t="s">
        <v>13</v>
      </c>
      <c r="G309" s="30" t="s">
        <v>24</v>
      </c>
      <c r="H309" s="30" t="str">
        <f>IFERROR(VLOOKUP(TRIM(IF(ISNUMBER(FIND(",", B309)),LEFT(B309,FIND(",",B309)-1),B309)),master!A:B,2,FALSE),"Belum ada mapping")
</f>
        <v>Jawa Tengah</v>
      </c>
      <c r="I309" s="30">
        <f>IFERROR(__xludf.DUMMYFUNCTION("IF(REGEXMATCH(F309,""Cari Kerja""),1,0)"),0.0)</f>
        <v>0</v>
      </c>
    </row>
    <row r="310">
      <c r="A310" s="11">
        <v>309.0</v>
      </c>
      <c r="B310" s="30" t="s">
        <v>207</v>
      </c>
      <c r="C310" s="30" t="s">
        <v>49</v>
      </c>
      <c r="D310" s="30" t="s">
        <v>628</v>
      </c>
      <c r="E310" s="30" t="s">
        <v>225</v>
      </c>
      <c r="F310" s="30" t="s">
        <v>31</v>
      </c>
      <c r="G310" s="30" t="s">
        <v>24</v>
      </c>
      <c r="H310" s="30" t="str">
        <f>IFERROR(VLOOKUP(TRIM(IF(ISNUMBER(FIND(",", B310)),LEFT(B310,FIND(",",B310)-1),B310)),master!A:B,2,FALSE),"Belum ada mapping")
</f>
        <v>Jakarta</v>
      </c>
      <c r="I310" s="30">
        <f>IFERROR(__xludf.DUMMYFUNCTION("IF(REGEXMATCH(F310,""Cari Kerja""),1,0)"),1.0)</f>
        <v>1</v>
      </c>
    </row>
    <row r="311">
      <c r="A311" s="11">
        <v>310.0</v>
      </c>
      <c r="B311" s="30" t="s">
        <v>113</v>
      </c>
      <c r="C311" s="30" t="s">
        <v>49</v>
      </c>
      <c r="D311" s="30" t="s">
        <v>1369</v>
      </c>
      <c r="E311" s="30" t="s">
        <v>738</v>
      </c>
      <c r="F311" s="30" t="s">
        <v>109</v>
      </c>
      <c r="G311" s="30" t="s">
        <v>76</v>
      </c>
      <c r="H311" s="30" t="str">
        <f>IFERROR(VLOOKUP(TRIM(IF(ISNUMBER(FIND(",", B311)),LEFT(B311,FIND(",",B311)-1),B311)),master!A:B,2,FALSE),"Belum ada mapping")
</f>
        <v>Sumatera Utara</v>
      </c>
      <c r="I311" s="30">
        <f>IFERROR(__xludf.DUMMYFUNCTION("IF(REGEXMATCH(F311,""Cari Kerja""),1,0)"),1.0)</f>
        <v>1</v>
      </c>
    </row>
    <row r="312">
      <c r="A312" s="11">
        <v>311.0</v>
      </c>
      <c r="B312" s="30" t="s">
        <v>97</v>
      </c>
      <c r="C312" s="30" t="s">
        <v>49</v>
      </c>
      <c r="D312" s="30" t="s">
        <v>1373</v>
      </c>
      <c r="E312" s="30" t="s">
        <v>51</v>
      </c>
      <c r="F312" s="30" t="s">
        <v>23</v>
      </c>
      <c r="G312" s="30" t="s">
        <v>24</v>
      </c>
      <c r="H312" s="30" t="str">
        <f>IFERROR(VLOOKUP(TRIM(IF(ISNUMBER(FIND(",", B312)),LEFT(B312,FIND(",",B312)-1),B312)),master!A:B,2,FALSE),"Belum ada mapping")
</f>
        <v>Jakarta</v>
      </c>
      <c r="I312" s="30">
        <f>IFERROR(__xludf.DUMMYFUNCTION("IF(REGEXMATCH(F312,""Cari Kerja""),1,0)"),1.0)</f>
        <v>1</v>
      </c>
    </row>
    <row r="313">
      <c r="A313" s="11">
        <v>312.0</v>
      </c>
      <c r="B313" s="30" t="s">
        <v>1377</v>
      </c>
      <c r="C313" s="30" t="s">
        <v>49</v>
      </c>
      <c r="D313" s="30" t="s">
        <v>149</v>
      </c>
      <c r="E313" s="30" t="s">
        <v>509</v>
      </c>
      <c r="F313" s="30" t="s">
        <v>109</v>
      </c>
      <c r="G313" s="30" t="s">
        <v>24</v>
      </c>
      <c r="H313" s="30" t="str">
        <f>IFERROR(VLOOKUP(TRIM(IF(ISNUMBER(FIND(",", B313)),LEFT(B313,FIND(",",B313)-1),B313)),master!A:B,2,FALSE),"Belum ada mapping")
</f>
        <v>Nusa Tenggara Barat</v>
      </c>
      <c r="I313" s="30">
        <f>IFERROR(__xludf.DUMMYFUNCTION("IF(REGEXMATCH(F313,""Cari Kerja""),1,0)"),1.0)</f>
        <v>1</v>
      </c>
    </row>
    <row r="314">
      <c r="A314" s="11">
        <v>313.0</v>
      </c>
      <c r="B314" s="30" t="s">
        <v>92</v>
      </c>
      <c r="C314" s="30" t="s">
        <v>20</v>
      </c>
      <c r="D314" s="30" t="s">
        <v>1381</v>
      </c>
      <c r="E314" s="30" t="s">
        <v>51</v>
      </c>
      <c r="F314" s="30" t="s">
        <v>31</v>
      </c>
      <c r="G314" s="30" t="s">
        <v>24</v>
      </c>
      <c r="H314" s="30" t="str">
        <f>IFERROR(VLOOKUP(TRIM(IF(ISNUMBER(FIND(",", B314)),LEFT(B314,FIND(",",B314)-1),B314)),master!A:B,2,FALSE),"Belum ada mapping")
</f>
        <v>Jawa Barat</v>
      </c>
      <c r="I314" s="30">
        <f>IFERROR(__xludf.DUMMYFUNCTION("IF(REGEXMATCH(F314,""Cari Kerja""),1,0)"),1.0)</f>
        <v>1</v>
      </c>
    </row>
    <row r="315">
      <c r="A315" s="11">
        <v>314.0</v>
      </c>
      <c r="B315" s="30" t="s">
        <v>92</v>
      </c>
      <c r="C315" s="30" t="s">
        <v>20</v>
      </c>
      <c r="D315" s="30" t="s">
        <v>1383</v>
      </c>
      <c r="E315" s="30" t="s">
        <v>51</v>
      </c>
      <c r="F315" s="30" t="s">
        <v>31</v>
      </c>
      <c r="G315" s="30" t="s">
        <v>24</v>
      </c>
      <c r="H315" s="30" t="str">
        <f>IFERROR(VLOOKUP(TRIM(IF(ISNUMBER(FIND(",", B315)),LEFT(B315,FIND(",",B315)-1),B315)),master!A:B,2,FALSE),"Belum ada mapping")
</f>
        <v>Jawa Barat</v>
      </c>
      <c r="I315" s="30">
        <f>IFERROR(__xludf.DUMMYFUNCTION("IF(REGEXMATCH(F315,""Cari Kerja""),1,0)"),1.0)</f>
        <v>1</v>
      </c>
    </row>
    <row r="316">
      <c r="A316" s="11">
        <v>315.0</v>
      </c>
      <c r="B316" s="30" t="s">
        <v>92</v>
      </c>
      <c r="C316" s="30" t="s">
        <v>20</v>
      </c>
      <c r="D316" s="30" t="s">
        <v>1384</v>
      </c>
      <c r="E316" s="30" t="s">
        <v>531</v>
      </c>
      <c r="F316" s="30" t="s">
        <v>235</v>
      </c>
      <c r="G316" s="30" t="s">
        <v>38</v>
      </c>
      <c r="H316" s="30" t="str">
        <f>IFERROR(VLOOKUP(TRIM(IF(ISNUMBER(FIND(",", B316)),LEFT(B316,FIND(",",B316)-1),B316)),master!A:B,2,FALSE),"Belum ada mapping")
</f>
        <v>Jawa Barat</v>
      </c>
      <c r="I316" s="30">
        <f>IFERROR(__xludf.DUMMYFUNCTION("IF(REGEXMATCH(F316,""Cari Kerja""),1,0)"),1.0)</f>
        <v>1</v>
      </c>
    </row>
    <row r="317">
      <c r="A317" s="11">
        <v>316.0</v>
      </c>
      <c r="B317" s="30" t="s">
        <v>452</v>
      </c>
      <c r="C317" s="30" t="s">
        <v>49</v>
      </c>
      <c r="D317" s="30" t="s">
        <v>1388</v>
      </c>
      <c r="E317" s="30" t="s">
        <v>176</v>
      </c>
      <c r="F317" s="30" t="s">
        <v>31</v>
      </c>
      <c r="G317" s="30" t="s">
        <v>24</v>
      </c>
      <c r="H317" s="30" t="str">
        <f>IFERROR(VLOOKUP(TRIM(IF(ISNUMBER(FIND(",", B317)),LEFT(B317,FIND(",",B317)-1),B317)),master!A:B,2,FALSE),"Belum ada mapping")
</f>
        <v>Sumatera Selatan</v>
      </c>
      <c r="I317" s="30">
        <f>IFERROR(__xludf.DUMMYFUNCTION("IF(REGEXMATCH(F317,""Cari Kerja""),1,0)"),1.0)</f>
        <v>1</v>
      </c>
    </row>
    <row r="318">
      <c r="A318" s="11">
        <v>317.0</v>
      </c>
      <c r="B318" s="30" t="s">
        <v>74</v>
      </c>
      <c r="C318" s="30" t="s">
        <v>20</v>
      </c>
      <c r="D318" s="30" t="s">
        <v>1392</v>
      </c>
      <c r="E318" s="30" t="s">
        <v>51</v>
      </c>
      <c r="F318" s="30" t="s">
        <v>59</v>
      </c>
      <c r="G318" s="30" t="s">
        <v>76</v>
      </c>
      <c r="H318" s="30" t="str">
        <f>IFERROR(VLOOKUP(TRIM(IF(ISNUMBER(FIND(",", B318)),LEFT(B318,FIND(",",B318)-1),B318)),master!A:B,2,FALSE),"Belum ada mapping")
</f>
        <v>Banten</v>
      </c>
      <c r="I318" s="30">
        <f>IFERROR(__xludf.DUMMYFUNCTION("IF(REGEXMATCH(F318,""Cari Kerja""),1,0)"),0.0)</f>
        <v>0</v>
      </c>
    </row>
    <row r="319">
      <c r="A319" s="11">
        <v>318.0</v>
      </c>
      <c r="B319" s="30" t="s">
        <v>42</v>
      </c>
      <c r="C319" s="30" t="s">
        <v>49</v>
      </c>
      <c r="D319" s="30" t="s">
        <v>1396</v>
      </c>
      <c r="E319" s="30" t="s">
        <v>225</v>
      </c>
      <c r="F319" s="30" t="s">
        <v>15</v>
      </c>
      <c r="G319" s="30" t="s">
        <v>24</v>
      </c>
      <c r="H319" s="30" t="str">
        <f>IFERROR(VLOOKUP(TRIM(IF(ISNUMBER(FIND(",", B319)),LEFT(B319,FIND(",",B319)-1),B319)),master!A:B,2,FALSE),"Belum ada mapping")
</f>
        <v>Jawa Barat</v>
      </c>
      <c r="I319" s="30">
        <f>IFERROR(__xludf.DUMMYFUNCTION("IF(REGEXMATCH(F319,""Cari Kerja""),1,0)"),0.0)</f>
        <v>0</v>
      </c>
    </row>
    <row r="320">
      <c r="A320" s="11">
        <v>319.0</v>
      </c>
      <c r="B320" s="30" t="s">
        <v>364</v>
      </c>
      <c r="C320" s="30" t="s">
        <v>20</v>
      </c>
      <c r="D320" s="30" t="s">
        <v>1400</v>
      </c>
      <c r="E320" s="30" t="s">
        <v>1401</v>
      </c>
      <c r="F320" s="30" t="s">
        <v>59</v>
      </c>
      <c r="G320" s="30" t="s">
        <v>38</v>
      </c>
      <c r="H320" s="30" t="str">
        <f>IFERROR(VLOOKUP(TRIM(IF(ISNUMBER(FIND(",", B320)),LEFT(B320,FIND(",",B320)-1),B320)),master!A:B,2,FALSE),"Belum ada mapping")
</f>
        <v>Jakarta</v>
      </c>
      <c r="I320" s="30">
        <f>IFERROR(__xludf.DUMMYFUNCTION("IF(REGEXMATCH(F320,""Cari Kerja""),1,0)"),0.0)</f>
        <v>0</v>
      </c>
    </row>
    <row r="321">
      <c r="A321" s="11">
        <v>320.0</v>
      </c>
      <c r="B321" s="30" t="s">
        <v>1405</v>
      </c>
      <c r="C321" s="30" t="s">
        <v>49</v>
      </c>
      <c r="D321" s="30" t="s">
        <v>1406</v>
      </c>
      <c r="E321" s="30" t="s">
        <v>1407</v>
      </c>
      <c r="F321" s="30" t="s">
        <v>13</v>
      </c>
      <c r="G321" s="30" t="s">
        <v>24</v>
      </c>
      <c r="H321" s="30" t="str">
        <f>IFERROR(VLOOKUP(TRIM(IF(ISNUMBER(FIND(",", B321)),LEFT(B321,FIND(",",B321)-1),B321)),master!A:B,2,FALSE),"Belum ada mapping")
</f>
        <v>Sulawesi Tengah</v>
      </c>
      <c r="I321" s="30">
        <f>IFERROR(__xludf.DUMMYFUNCTION("IF(REGEXMATCH(F321,""Cari Kerja""),1,0)"),0.0)</f>
        <v>0</v>
      </c>
    </row>
    <row r="322">
      <c r="A322" s="11">
        <v>321.0</v>
      </c>
      <c r="B322" s="30" t="s">
        <v>1411</v>
      </c>
      <c r="C322" s="30" t="s">
        <v>20</v>
      </c>
      <c r="D322" s="30" t="s">
        <v>552</v>
      </c>
      <c r="E322" s="30" t="s">
        <v>1412</v>
      </c>
      <c r="F322" s="30" t="s">
        <v>109</v>
      </c>
      <c r="G322" s="30" t="s">
        <v>24</v>
      </c>
      <c r="H322" s="30" t="str">
        <f>IFERROR(VLOOKUP(TRIM(IF(ISNUMBER(FIND(",", B322)),LEFT(B322,FIND(",",B322)-1),B322)),master!A:B,2,FALSE),"Belum ada mapping")
</f>
        <v>Jawa Barat</v>
      </c>
      <c r="I322" s="30">
        <f>IFERROR(__xludf.DUMMYFUNCTION("IF(REGEXMATCH(F322,""Cari Kerja""),1,0)"),1.0)</f>
        <v>1</v>
      </c>
    </row>
    <row r="323">
      <c r="A323" s="11">
        <v>322.0</v>
      </c>
      <c r="B323" s="30" t="s">
        <v>1416</v>
      </c>
      <c r="C323" s="30" t="s">
        <v>49</v>
      </c>
      <c r="D323" s="30" t="s">
        <v>1417</v>
      </c>
      <c r="E323" s="30" t="s">
        <v>51</v>
      </c>
      <c r="F323" s="30" t="s">
        <v>52</v>
      </c>
      <c r="G323" s="30" t="s">
        <v>24</v>
      </c>
      <c r="H323" s="30" t="str">
        <f>IFERROR(VLOOKUP(TRIM(IF(ISNUMBER(FIND(",", B323)),LEFT(B323,FIND(",",B323)-1),B323)),master!A:B,2,FALSE),"Belum ada mapping")
</f>
        <v>Sumatera Selatan</v>
      </c>
      <c r="I323" s="30">
        <f>IFERROR(__xludf.DUMMYFUNCTION("IF(REGEXMATCH(F323,""Cari Kerja""),1,0)"),0.0)</f>
        <v>0</v>
      </c>
    </row>
    <row r="324">
      <c r="A324" s="11">
        <v>323.0</v>
      </c>
      <c r="B324" s="30" t="s">
        <v>158</v>
      </c>
      <c r="C324" s="30" t="s">
        <v>20</v>
      </c>
      <c r="D324" s="30" t="s">
        <v>149</v>
      </c>
      <c r="E324" s="30" t="s">
        <v>209</v>
      </c>
      <c r="F324" s="30" t="s">
        <v>453</v>
      </c>
      <c r="G324" s="30" t="s">
        <v>24</v>
      </c>
      <c r="H324" s="30" t="str">
        <f>IFERROR(VLOOKUP(TRIM(IF(ISNUMBER(FIND(",", B324)),LEFT(B324,FIND(",",B324)-1),B324)),master!A:B,2,FALSE),"Belum ada mapping")
</f>
        <v>Jawa Barat</v>
      </c>
      <c r="I324" s="30">
        <f>IFERROR(__xludf.DUMMYFUNCTION("IF(REGEXMATCH(F324,""Cari Kerja""),1,0)"),1.0)</f>
        <v>1</v>
      </c>
    </row>
    <row r="325">
      <c r="A325" s="11">
        <v>324.0</v>
      </c>
      <c r="B325" s="30" t="s">
        <v>42</v>
      </c>
      <c r="C325" s="30" t="s">
        <v>20</v>
      </c>
      <c r="D325" s="30" t="s">
        <v>1424</v>
      </c>
      <c r="E325" s="30" t="s">
        <v>51</v>
      </c>
      <c r="F325" s="30" t="s">
        <v>31</v>
      </c>
      <c r="G325" s="30" t="s">
        <v>24</v>
      </c>
      <c r="H325" s="30" t="str">
        <f>IFERROR(VLOOKUP(TRIM(IF(ISNUMBER(FIND(",", B325)),LEFT(B325,FIND(",",B325)-1),B325)),master!A:B,2,FALSE),"Belum ada mapping")
</f>
        <v>Jawa Barat</v>
      </c>
      <c r="I325" s="30">
        <f>IFERROR(__xludf.DUMMYFUNCTION("IF(REGEXMATCH(F325,""Cari Kerja""),1,0)"),1.0)</f>
        <v>1</v>
      </c>
    </row>
    <row r="326">
      <c r="A326" s="11">
        <v>325.0</v>
      </c>
      <c r="B326" s="30" t="s">
        <v>35</v>
      </c>
      <c r="C326" s="30" t="s">
        <v>20</v>
      </c>
      <c r="D326" s="30" t="s">
        <v>1428</v>
      </c>
      <c r="E326" s="30" t="s">
        <v>82</v>
      </c>
      <c r="F326" s="30" t="s">
        <v>23</v>
      </c>
      <c r="G326" s="30" t="s">
        <v>24</v>
      </c>
      <c r="H326" s="30" t="str">
        <f>IFERROR(VLOOKUP(TRIM(IF(ISNUMBER(FIND(",", B326)),LEFT(B326,FIND(",",B326)-1),B326)),master!A:B,2,FALSE),"Belum ada mapping")
</f>
        <v>Jawa Timur</v>
      </c>
      <c r="I326" s="30">
        <f>IFERROR(__xludf.DUMMYFUNCTION("IF(REGEXMATCH(F326,""Cari Kerja""),1,0)"),1.0)</f>
        <v>1</v>
      </c>
    </row>
    <row r="327">
      <c r="A327" s="11">
        <v>326.0</v>
      </c>
      <c r="B327" s="30" t="s">
        <v>207</v>
      </c>
      <c r="C327" s="30" t="s">
        <v>49</v>
      </c>
      <c r="D327" s="30" t="s">
        <v>720</v>
      </c>
      <c r="E327" s="30" t="s">
        <v>51</v>
      </c>
      <c r="F327" s="30" t="s">
        <v>31</v>
      </c>
      <c r="G327" s="30" t="s">
        <v>38</v>
      </c>
      <c r="H327" s="30" t="str">
        <f>IFERROR(VLOOKUP(TRIM(IF(ISNUMBER(FIND(",", B327)),LEFT(B327,FIND(",",B327)-1),B327)),master!A:B,2,FALSE),"Belum ada mapping")
</f>
        <v>Jakarta</v>
      </c>
      <c r="I327" s="30">
        <f>IFERROR(__xludf.DUMMYFUNCTION("IF(REGEXMATCH(F327,""Cari Kerja""),1,0)"),1.0)</f>
        <v>1</v>
      </c>
    </row>
    <row r="328">
      <c r="A328" s="11">
        <v>327.0</v>
      </c>
      <c r="B328" s="30" t="s">
        <v>1435</v>
      </c>
      <c r="C328" s="30" t="s">
        <v>49</v>
      </c>
      <c r="D328" s="30" t="s">
        <v>1436</v>
      </c>
      <c r="E328" s="30" t="s">
        <v>30</v>
      </c>
      <c r="F328" s="30" t="s">
        <v>31</v>
      </c>
      <c r="G328" s="30" t="s">
        <v>24</v>
      </c>
      <c r="H328" s="30" t="str">
        <f>IFERROR(VLOOKUP(TRIM(IF(ISNUMBER(FIND(",", B328)),LEFT(B328,FIND(",",B328)-1),B328)),master!A:B,2,FALSE),"Belum ada mapping")
</f>
        <v>Riau</v>
      </c>
      <c r="I328" s="30">
        <f>IFERROR(__xludf.DUMMYFUNCTION("IF(REGEXMATCH(F328,""Cari Kerja""),1,0)"),1.0)</f>
        <v>1</v>
      </c>
    </row>
    <row r="329">
      <c r="A329" s="11">
        <v>328.0</v>
      </c>
      <c r="B329" s="30" t="s">
        <v>1440</v>
      </c>
      <c r="C329" s="30" t="s">
        <v>49</v>
      </c>
      <c r="D329" s="30" t="s">
        <v>1077</v>
      </c>
      <c r="E329" s="30" t="s">
        <v>51</v>
      </c>
      <c r="F329" s="30" t="s">
        <v>31</v>
      </c>
      <c r="G329" s="30" t="s">
        <v>76</v>
      </c>
      <c r="H329" s="30" t="str">
        <f>IFERROR(VLOOKUP(TRIM(IF(ISNUMBER(FIND(",", B329)),LEFT(B329,FIND(",",B329)-1),B329)),master!A:B,2,FALSE),"Belum ada mapping")
</f>
        <v>Sulawesi Tenggara</v>
      </c>
      <c r="I329" s="30">
        <f>IFERROR(__xludf.DUMMYFUNCTION("IF(REGEXMATCH(F329,""Cari Kerja""),1,0)"),1.0)</f>
        <v>1</v>
      </c>
    </row>
    <row r="330">
      <c r="A330" s="11">
        <v>329.0</v>
      </c>
      <c r="B330" s="30" t="s">
        <v>35</v>
      </c>
      <c r="C330" s="30" t="s">
        <v>20</v>
      </c>
      <c r="D330" s="30" t="s">
        <v>21</v>
      </c>
      <c r="E330" s="30" t="s">
        <v>37</v>
      </c>
      <c r="F330" s="30" t="s">
        <v>23</v>
      </c>
      <c r="G330" s="30" t="s">
        <v>24</v>
      </c>
      <c r="H330" s="30" t="str">
        <f>IFERROR(VLOOKUP(TRIM(IF(ISNUMBER(FIND(",", B330)),LEFT(B330,FIND(",",B330)-1),B330)),master!A:B,2,FALSE),"Belum ada mapping")
</f>
        <v>Jawa Timur</v>
      </c>
      <c r="I330" s="30">
        <f>IFERROR(__xludf.DUMMYFUNCTION("IF(REGEXMATCH(F330,""Cari Kerja""),1,0)"),1.0)</f>
        <v>1</v>
      </c>
    </row>
    <row r="331">
      <c r="A331" s="11">
        <v>330.0</v>
      </c>
      <c r="B331" s="30" t="s">
        <v>551</v>
      </c>
      <c r="C331" s="30" t="s">
        <v>20</v>
      </c>
      <c r="D331" s="30" t="s">
        <v>1447</v>
      </c>
      <c r="E331" s="30" t="s">
        <v>651</v>
      </c>
      <c r="F331" s="30" t="s">
        <v>31</v>
      </c>
      <c r="G331" s="30" t="s">
        <v>24</v>
      </c>
      <c r="H331" s="30" t="str">
        <f>IFERROR(VLOOKUP(TRIM(IF(ISNUMBER(FIND(",", B331)),LEFT(B331,FIND(",",B331)-1),B331)),master!A:B,2,FALSE),"Belum ada mapping")
</f>
        <v>Jawa Barat</v>
      </c>
      <c r="I331" s="30">
        <f>IFERROR(__xludf.DUMMYFUNCTION("IF(REGEXMATCH(F331,""Cari Kerja""),1,0)"),1.0)</f>
        <v>1</v>
      </c>
    </row>
    <row r="332">
      <c r="A332" s="11">
        <v>331.0</v>
      </c>
      <c r="B332" s="30" t="s">
        <v>74</v>
      </c>
      <c r="C332" s="30" t="s">
        <v>20</v>
      </c>
      <c r="D332" s="30" t="s">
        <v>1451</v>
      </c>
      <c r="E332" s="30" t="s">
        <v>51</v>
      </c>
      <c r="F332" s="30" t="s">
        <v>23</v>
      </c>
      <c r="G332" s="30" t="s">
        <v>24</v>
      </c>
      <c r="H332" s="30" t="str">
        <f>IFERROR(VLOOKUP(TRIM(IF(ISNUMBER(FIND(",", B332)),LEFT(B332,FIND(",",B332)-1),B332)),master!A:B,2,FALSE),"Belum ada mapping")
</f>
        <v>Banten</v>
      </c>
      <c r="I332" s="30">
        <f>IFERROR(__xludf.DUMMYFUNCTION("IF(REGEXMATCH(F332,""Cari Kerja""),1,0)"),1.0)</f>
        <v>1</v>
      </c>
    </row>
    <row r="333">
      <c r="A333" s="11">
        <v>332.0</v>
      </c>
      <c r="B333" s="30" t="s">
        <v>1455</v>
      </c>
      <c r="C333" s="30" t="s">
        <v>49</v>
      </c>
      <c r="D333" s="30" t="s">
        <v>720</v>
      </c>
      <c r="E333" s="30" t="s">
        <v>1456</v>
      </c>
      <c r="F333" s="30" t="s">
        <v>59</v>
      </c>
      <c r="G333" s="30" t="s">
        <v>24</v>
      </c>
      <c r="H333" s="30" t="str">
        <f>IFERROR(VLOOKUP(TRIM(IF(ISNUMBER(FIND(",", B333)),LEFT(B333,FIND(",",B333)-1),B333)),master!A:B,2,FALSE),"Belum ada mapping")
</f>
        <v>Kalimantan Selatan</v>
      </c>
      <c r="I333" s="30">
        <f>IFERROR(__xludf.DUMMYFUNCTION("IF(REGEXMATCH(F333,""Cari Kerja""),1,0)"),0.0)</f>
        <v>0</v>
      </c>
    </row>
    <row r="334">
      <c r="A334" s="11">
        <v>333.0</v>
      </c>
      <c r="B334" s="30" t="s">
        <v>457</v>
      </c>
      <c r="C334" s="30" t="s">
        <v>20</v>
      </c>
      <c r="D334" s="30" t="s">
        <v>267</v>
      </c>
      <c r="E334" s="30" t="s">
        <v>51</v>
      </c>
      <c r="F334" s="30" t="s">
        <v>23</v>
      </c>
      <c r="G334" s="30" t="s">
        <v>24</v>
      </c>
      <c r="H334" s="30" t="str">
        <f>IFERROR(VLOOKUP(TRIM(IF(ISNUMBER(FIND(",", B334)),LEFT(B334,FIND(",",B334)-1),B334)),master!A:B,2,FALSE),"Belum ada mapping")
</f>
        <v>Lampung</v>
      </c>
      <c r="I334" s="30">
        <f>IFERROR(__xludf.DUMMYFUNCTION("IF(REGEXMATCH(F334,""Cari Kerja""),1,0)"),1.0)</f>
        <v>1</v>
      </c>
    </row>
    <row r="335">
      <c r="A335" s="11">
        <v>334.0</v>
      </c>
      <c r="B335" s="30" t="s">
        <v>1463</v>
      </c>
      <c r="C335" s="30" t="s">
        <v>20</v>
      </c>
      <c r="D335" s="30" t="s">
        <v>1464</v>
      </c>
      <c r="E335" s="30" t="s">
        <v>51</v>
      </c>
      <c r="F335" s="30" t="s">
        <v>52</v>
      </c>
      <c r="G335" s="30" t="s">
        <v>24</v>
      </c>
      <c r="H335" s="30" t="str">
        <f>IFERROR(VLOOKUP(TRIM(IF(ISNUMBER(FIND(",", B335)),LEFT(B335,FIND(",",B335)-1),B335)),master!A:B,2,FALSE),"Belum ada mapping")
</f>
        <v>Sumatera Barat</v>
      </c>
      <c r="I335" s="30">
        <f>IFERROR(__xludf.DUMMYFUNCTION("IF(REGEXMATCH(F335,""Cari Kerja""),1,0)"),0.0)</f>
        <v>0</v>
      </c>
    </row>
    <row r="336">
      <c r="A336" s="11">
        <v>335.0</v>
      </c>
      <c r="B336" s="30" t="s">
        <v>207</v>
      </c>
      <c r="C336" s="30" t="s">
        <v>49</v>
      </c>
      <c r="D336" s="30" t="s">
        <v>1468</v>
      </c>
      <c r="E336" s="30" t="s">
        <v>51</v>
      </c>
      <c r="F336" s="30" t="s">
        <v>968</v>
      </c>
      <c r="G336" s="30" t="s">
        <v>24</v>
      </c>
      <c r="H336" s="30" t="str">
        <f>IFERROR(VLOOKUP(TRIM(IF(ISNUMBER(FIND(",", B336)),LEFT(B336,FIND(",",B336)-1),B336)),master!A:B,2,FALSE),"Belum ada mapping")
</f>
        <v>Jakarta</v>
      </c>
      <c r="I336" s="30">
        <f>IFERROR(__xludf.DUMMYFUNCTION("IF(REGEXMATCH(F336,""Cari Kerja""),1,0)"),1.0)</f>
        <v>1</v>
      </c>
    </row>
    <row r="337">
      <c r="A337" s="11">
        <v>336.0</v>
      </c>
      <c r="B337" s="30" t="s">
        <v>92</v>
      </c>
      <c r="C337" s="30" t="s">
        <v>49</v>
      </c>
      <c r="D337" s="30" t="s">
        <v>1472</v>
      </c>
      <c r="E337" s="30" t="s">
        <v>51</v>
      </c>
      <c r="F337" s="30" t="s">
        <v>23</v>
      </c>
      <c r="G337" s="30" t="s">
        <v>24</v>
      </c>
      <c r="H337" s="30" t="str">
        <f>IFERROR(VLOOKUP(TRIM(IF(ISNUMBER(FIND(",", B337)),LEFT(B337,FIND(",",B337)-1),B337)),master!A:B,2,FALSE),"Belum ada mapping")
</f>
        <v>Jawa Barat</v>
      </c>
      <c r="I337" s="30">
        <f>IFERROR(__xludf.DUMMYFUNCTION("IF(REGEXMATCH(F337,""Cari Kerja""),1,0)"),1.0)</f>
        <v>1</v>
      </c>
    </row>
    <row r="338">
      <c r="A338" s="11">
        <v>337.0</v>
      </c>
      <c r="B338" s="30" t="s">
        <v>452</v>
      </c>
      <c r="C338" s="30" t="s">
        <v>20</v>
      </c>
      <c r="D338" s="30" t="s">
        <v>1476</v>
      </c>
      <c r="E338" s="30" t="s">
        <v>51</v>
      </c>
      <c r="F338" s="30" t="s">
        <v>154</v>
      </c>
      <c r="G338" s="30" t="s">
        <v>24</v>
      </c>
      <c r="H338" s="30" t="str">
        <f>IFERROR(VLOOKUP(TRIM(IF(ISNUMBER(FIND(",", B338)),LEFT(B338,FIND(",",B338)-1),B338)),master!A:B,2,FALSE),"Belum ada mapping")
</f>
        <v>Sumatera Selatan</v>
      </c>
      <c r="I338" s="30">
        <f>IFERROR(__xludf.DUMMYFUNCTION("IF(REGEXMATCH(F338,""Cari Kerja""),1,0)"),0.0)</f>
        <v>0</v>
      </c>
    </row>
    <row r="339">
      <c r="A339" s="11">
        <v>338.0</v>
      </c>
      <c r="B339" s="30" t="s">
        <v>775</v>
      </c>
      <c r="C339" s="30" t="s">
        <v>20</v>
      </c>
      <c r="D339" s="30" t="s">
        <v>1480</v>
      </c>
      <c r="E339" s="30" t="s">
        <v>187</v>
      </c>
      <c r="F339" s="30" t="s">
        <v>31</v>
      </c>
      <c r="G339" s="30" t="s">
        <v>24</v>
      </c>
      <c r="H339" s="30" t="str">
        <f>IFERROR(VLOOKUP(TRIM(IF(ISNUMBER(FIND(",", B339)),LEFT(B339,FIND(",",B339)-1),B339)),master!A:B,2,FALSE),"Belum ada mapping")
</f>
        <v>Jakarta</v>
      </c>
      <c r="I339" s="30">
        <f>IFERROR(__xludf.DUMMYFUNCTION("IF(REGEXMATCH(F339,""Cari Kerja""),1,0)"),1.0)</f>
        <v>1</v>
      </c>
    </row>
    <row r="340">
      <c r="A340" s="11">
        <v>339.0</v>
      </c>
      <c r="B340" s="30" t="s">
        <v>1484</v>
      </c>
      <c r="C340" s="30" t="s">
        <v>20</v>
      </c>
      <c r="D340" s="30" t="s">
        <v>69</v>
      </c>
      <c r="E340" s="30" t="s">
        <v>51</v>
      </c>
      <c r="F340" s="30" t="s">
        <v>23</v>
      </c>
      <c r="G340" s="30" t="s">
        <v>24</v>
      </c>
      <c r="H340" s="30" t="str">
        <f>IFERROR(VLOOKUP(TRIM(IF(ISNUMBER(FIND(",", B340)),LEFT(B340,FIND(",",B340)-1),B340)),master!A:B,2,FALSE),"Belum ada mapping")
</f>
        <v>Jawa Timur</v>
      </c>
      <c r="I340" s="30">
        <f>IFERROR(__xludf.DUMMYFUNCTION("IF(REGEXMATCH(F340,""Cari Kerja""),1,0)"),1.0)</f>
        <v>1</v>
      </c>
    </row>
    <row r="341">
      <c r="A341" s="11">
        <v>340.0</v>
      </c>
      <c r="B341" s="30" t="s">
        <v>207</v>
      </c>
      <c r="C341" s="30" t="s">
        <v>49</v>
      </c>
      <c r="D341" s="30" t="s">
        <v>69</v>
      </c>
      <c r="E341" s="30" t="s">
        <v>87</v>
      </c>
      <c r="F341" s="30" t="s">
        <v>31</v>
      </c>
      <c r="G341" s="30" t="s">
        <v>24</v>
      </c>
      <c r="H341" s="30" t="str">
        <f>IFERROR(VLOOKUP(TRIM(IF(ISNUMBER(FIND(",", B341)),LEFT(B341,FIND(",",B341)-1),B341)),master!A:B,2,FALSE),"Belum ada mapping")
</f>
        <v>Jakarta</v>
      </c>
      <c r="I341" s="30">
        <f>IFERROR(__xludf.DUMMYFUNCTION("IF(REGEXMATCH(F341,""Cari Kerja""),1,0)"),1.0)</f>
        <v>1</v>
      </c>
    </row>
    <row r="342">
      <c r="A342" s="11">
        <v>341.0</v>
      </c>
      <c r="B342" s="30" t="s">
        <v>97</v>
      </c>
      <c r="C342" s="30" t="s">
        <v>20</v>
      </c>
      <c r="D342" s="30" t="s">
        <v>1077</v>
      </c>
      <c r="E342" s="30" t="s">
        <v>51</v>
      </c>
      <c r="F342" s="30" t="s">
        <v>23</v>
      </c>
      <c r="G342" s="30" t="s">
        <v>24</v>
      </c>
      <c r="H342" s="30" t="str">
        <f>IFERROR(VLOOKUP(TRIM(IF(ISNUMBER(FIND(",", B342)),LEFT(B342,FIND(",",B342)-1),B342)),master!A:B,2,FALSE),"Belum ada mapping")
</f>
        <v>Jakarta</v>
      </c>
      <c r="I342" s="30">
        <f>IFERROR(__xludf.DUMMYFUNCTION("IF(REGEXMATCH(F342,""Cari Kerja""),1,0)"),1.0)</f>
        <v>1</v>
      </c>
    </row>
    <row r="343">
      <c r="A343" s="11">
        <v>342.0</v>
      </c>
      <c r="B343" s="30" t="s">
        <v>504</v>
      </c>
      <c r="C343" s="30" t="s">
        <v>49</v>
      </c>
      <c r="D343" s="30" t="s">
        <v>69</v>
      </c>
      <c r="E343" s="30" t="s">
        <v>93</v>
      </c>
      <c r="F343" s="30" t="s">
        <v>109</v>
      </c>
      <c r="G343" s="30" t="s">
        <v>24</v>
      </c>
      <c r="H343" s="30" t="str">
        <f>IFERROR(VLOOKUP(TRIM(IF(ISNUMBER(FIND(",", B343)),LEFT(B343,FIND(",",B343)-1),B343)),master!A:B,2,FALSE),"Belum ada mapping")
</f>
        <v>Riau</v>
      </c>
      <c r="I343" s="30">
        <f>IFERROR(__xludf.DUMMYFUNCTION("IF(REGEXMATCH(F343,""Cari Kerja""),1,0)"),1.0)</f>
        <v>1</v>
      </c>
    </row>
    <row r="344">
      <c r="A344" s="11">
        <v>343.0</v>
      </c>
      <c r="B344" s="30" t="s">
        <v>42</v>
      </c>
      <c r="C344" s="30" t="s">
        <v>20</v>
      </c>
      <c r="D344" s="30" t="s">
        <v>1497</v>
      </c>
      <c r="E344" s="30" t="s">
        <v>51</v>
      </c>
      <c r="F344" s="30" t="s">
        <v>23</v>
      </c>
      <c r="G344" s="30" t="s">
        <v>38</v>
      </c>
      <c r="H344" s="30" t="str">
        <f>IFERROR(VLOOKUP(TRIM(IF(ISNUMBER(FIND(",", B344)),LEFT(B344,FIND(",",B344)-1),B344)),master!A:B,2,FALSE),"Belum ada mapping")
</f>
        <v>Jawa Barat</v>
      </c>
      <c r="I344" s="30">
        <f>IFERROR(__xludf.DUMMYFUNCTION("IF(REGEXMATCH(F344,""Cari Kerja""),1,0)"),1.0)</f>
        <v>1</v>
      </c>
    </row>
    <row r="345">
      <c r="A345" s="11">
        <v>344.0</v>
      </c>
      <c r="B345" s="30" t="s">
        <v>775</v>
      </c>
      <c r="C345" s="30" t="s">
        <v>20</v>
      </c>
      <c r="D345" s="30" t="s">
        <v>1501</v>
      </c>
      <c r="E345" s="30" t="s">
        <v>225</v>
      </c>
      <c r="F345" s="30" t="s">
        <v>31</v>
      </c>
      <c r="G345" s="30" t="s">
        <v>24</v>
      </c>
      <c r="H345" s="30" t="str">
        <f>IFERROR(VLOOKUP(TRIM(IF(ISNUMBER(FIND(",", B345)),LEFT(B345,FIND(",",B345)-1),B345)),master!A:B,2,FALSE),"Belum ada mapping")
</f>
        <v>Jakarta</v>
      </c>
      <c r="I345" s="30">
        <f>IFERROR(__xludf.DUMMYFUNCTION("IF(REGEXMATCH(F345,""Cari Kerja""),1,0)"),1.0)</f>
        <v>1</v>
      </c>
    </row>
    <row r="346">
      <c r="A346" s="11">
        <v>345.0</v>
      </c>
      <c r="B346" s="30" t="s">
        <v>1505</v>
      </c>
      <c r="C346" s="30" t="s">
        <v>20</v>
      </c>
      <c r="D346" s="30" t="s">
        <v>656</v>
      </c>
      <c r="E346" s="30" t="s">
        <v>160</v>
      </c>
      <c r="F346" s="30" t="s">
        <v>31</v>
      </c>
      <c r="G346" s="30" t="s">
        <v>24</v>
      </c>
      <c r="H346" s="30" t="str">
        <f>IFERROR(VLOOKUP(TRIM(IF(ISNUMBER(FIND(",", B346)),LEFT(B346,FIND(",",B346)-1),B346)),master!A:B,2,FALSE),"Belum ada mapping")
</f>
        <v>Jawa Tengah</v>
      </c>
      <c r="I346" s="30">
        <f>IFERROR(__xludf.DUMMYFUNCTION("IF(REGEXMATCH(F346,""Cari Kerja""),1,0)"),1.0)</f>
        <v>1</v>
      </c>
    </row>
    <row r="347">
      <c r="A347" s="11">
        <v>346.0</v>
      </c>
      <c r="B347" s="30" t="s">
        <v>1509</v>
      </c>
      <c r="C347" s="30" t="s">
        <v>20</v>
      </c>
      <c r="D347" s="30" t="s">
        <v>1510</v>
      </c>
      <c r="E347" s="30" t="s">
        <v>51</v>
      </c>
      <c r="F347" s="30" t="s">
        <v>23</v>
      </c>
      <c r="G347" s="30" t="s">
        <v>24</v>
      </c>
      <c r="H347" s="30" t="str">
        <f>IFERROR(VLOOKUP(TRIM(IF(ISNUMBER(FIND(",", B347)),LEFT(B347,FIND(",",B347)-1),B347)),master!A:B,2,FALSE),"Belum ada mapping")
</f>
        <v>Jawa Tengah</v>
      </c>
      <c r="I347" s="30">
        <f>IFERROR(__xludf.DUMMYFUNCTION("IF(REGEXMATCH(F347,""Cari Kerja""),1,0)"),1.0)</f>
        <v>1</v>
      </c>
    </row>
    <row r="348">
      <c r="A348" s="11">
        <v>347.0</v>
      </c>
      <c r="B348" s="30" t="s">
        <v>276</v>
      </c>
      <c r="C348" s="30" t="s">
        <v>20</v>
      </c>
      <c r="D348" s="30" t="s">
        <v>1514</v>
      </c>
      <c r="E348" s="30" t="s">
        <v>439</v>
      </c>
      <c r="F348" s="30" t="s">
        <v>31</v>
      </c>
      <c r="G348" s="30" t="s">
        <v>38</v>
      </c>
      <c r="H348" s="30" t="str">
        <f>IFERROR(VLOOKUP(TRIM(IF(ISNUMBER(FIND(",", B348)),LEFT(B348,FIND(",",B348)-1),B348)),master!A:B,2,FALSE),"Belum ada mapping")
</f>
        <v>Jawa Timur</v>
      </c>
      <c r="I348" s="30">
        <f>IFERROR(__xludf.DUMMYFUNCTION("IF(REGEXMATCH(F348,""Cari Kerja""),1,0)"),1.0)</f>
        <v>1</v>
      </c>
    </row>
    <row r="349">
      <c r="A349" s="11">
        <v>348.0</v>
      </c>
      <c r="B349" s="30" t="s">
        <v>207</v>
      </c>
      <c r="C349" s="30" t="s">
        <v>49</v>
      </c>
      <c r="D349" s="30" t="s">
        <v>1518</v>
      </c>
      <c r="E349" s="30" t="s">
        <v>619</v>
      </c>
      <c r="F349" s="30" t="s">
        <v>52</v>
      </c>
      <c r="G349" s="30" t="s">
        <v>24</v>
      </c>
      <c r="H349" s="30" t="str">
        <f>IFERROR(VLOOKUP(TRIM(IF(ISNUMBER(FIND(",", B349)),LEFT(B349,FIND(",",B349)-1),B349)),master!A:B,2,FALSE),"Belum ada mapping")
</f>
        <v>Jakarta</v>
      </c>
      <c r="I349" s="30">
        <f>IFERROR(__xludf.DUMMYFUNCTION("IF(REGEXMATCH(F349,""Cari Kerja""),1,0)"),0.0)</f>
        <v>0</v>
      </c>
    </row>
    <row r="350">
      <c r="A350" s="11">
        <v>349.0</v>
      </c>
      <c r="B350" s="30" t="s">
        <v>218</v>
      </c>
      <c r="C350" s="30" t="s">
        <v>49</v>
      </c>
      <c r="D350" s="30" t="s">
        <v>1522</v>
      </c>
      <c r="E350" s="30" t="s">
        <v>1523</v>
      </c>
      <c r="F350" s="30" t="s">
        <v>52</v>
      </c>
      <c r="G350" s="30" t="s">
        <v>24</v>
      </c>
      <c r="H350" s="30" t="str">
        <f>IFERROR(VLOOKUP(TRIM(IF(ISNUMBER(FIND(",", B350)),LEFT(B350,FIND(",",B350)-1),B350)),master!A:B,2,FALSE),"Belum ada mapping")
</f>
        <v>Banten</v>
      </c>
      <c r="I350" s="30">
        <f>IFERROR(__xludf.DUMMYFUNCTION("IF(REGEXMATCH(F350,""Cari Kerja""),1,0)"),0.0)</f>
        <v>0</v>
      </c>
    </row>
    <row r="351">
      <c r="A351" s="11">
        <v>350.0</v>
      </c>
      <c r="B351" s="30" t="s">
        <v>35</v>
      </c>
      <c r="C351" s="30" t="s">
        <v>49</v>
      </c>
      <c r="D351" s="30" t="s">
        <v>1527</v>
      </c>
      <c r="E351" s="30" t="s">
        <v>1528</v>
      </c>
      <c r="F351" s="30" t="s">
        <v>154</v>
      </c>
      <c r="G351" s="30" t="s">
        <v>24</v>
      </c>
      <c r="H351" s="30" t="str">
        <f>IFERROR(VLOOKUP(TRIM(IF(ISNUMBER(FIND(",", B351)),LEFT(B351,FIND(",",B351)-1),B351)),master!A:B,2,FALSE),"Belum ada mapping")
</f>
        <v>Jawa Timur</v>
      </c>
      <c r="I351" s="30">
        <f>IFERROR(__xludf.DUMMYFUNCTION("IF(REGEXMATCH(F351,""Cari Kerja""),1,0)"),0.0)</f>
        <v>0</v>
      </c>
    </row>
    <row r="352">
      <c r="A352" s="11">
        <v>351.0</v>
      </c>
      <c r="B352" s="30" t="s">
        <v>74</v>
      </c>
      <c r="C352" s="30" t="s">
        <v>20</v>
      </c>
      <c r="D352" s="30" t="s">
        <v>1532</v>
      </c>
      <c r="E352" s="30" t="s">
        <v>51</v>
      </c>
      <c r="F352" s="30" t="s">
        <v>59</v>
      </c>
      <c r="G352" s="30" t="s">
        <v>24</v>
      </c>
      <c r="H352" s="30" t="str">
        <f>IFERROR(VLOOKUP(TRIM(IF(ISNUMBER(FIND(",", B352)),LEFT(B352,FIND(",",B352)-1),B352)),master!A:B,2,FALSE),"Belum ada mapping")
</f>
        <v>Banten</v>
      </c>
      <c r="I352" s="30">
        <f>IFERROR(__xludf.DUMMYFUNCTION("IF(REGEXMATCH(F352,""Cari Kerja""),1,0)"),0.0)</f>
        <v>0</v>
      </c>
    </row>
    <row r="353">
      <c r="A353" s="11">
        <v>352.0</v>
      </c>
      <c r="B353" s="30" t="s">
        <v>1536</v>
      </c>
      <c r="C353" s="30" t="s">
        <v>20</v>
      </c>
      <c r="D353" s="30" t="s">
        <v>1537</v>
      </c>
      <c r="E353" s="30" t="s">
        <v>51</v>
      </c>
      <c r="F353" s="30" t="s">
        <v>31</v>
      </c>
      <c r="G353" s="30" t="s">
        <v>24</v>
      </c>
      <c r="H353" s="30" t="str">
        <f>IFERROR(VLOOKUP(TRIM(IF(ISNUMBER(FIND(",", B353)),LEFT(B353,FIND(",",B353)-1),B353)),master!A:B,2,FALSE),"Belum ada mapping")
</f>
        <v>Jawa Timur</v>
      </c>
      <c r="I353" s="30">
        <f>IFERROR(__xludf.DUMMYFUNCTION("IF(REGEXMATCH(F353,""Cari Kerja""),1,0)"),1.0)</f>
        <v>1</v>
      </c>
    </row>
    <row r="354">
      <c r="A354" s="11">
        <v>353.0</v>
      </c>
      <c r="B354" s="30" t="s">
        <v>1541</v>
      </c>
      <c r="C354" s="30" t="s">
        <v>20</v>
      </c>
      <c r="D354" s="30" t="s">
        <v>1542</v>
      </c>
      <c r="E354" s="30" t="s">
        <v>51</v>
      </c>
      <c r="F354" s="30" t="s">
        <v>13</v>
      </c>
      <c r="G354" s="30" t="s">
        <v>76</v>
      </c>
      <c r="H354" s="30" t="str">
        <f>IFERROR(VLOOKUP(TRIM(IF(ISNUMBER(FIND(",", B354)),LEFT(B354,FIND(",",B354)-1),B354)),master!A:B,2,FALSE),"Belum ada mapping")
</f>
        <v>Jawa Timur</v>
      </c>
      <c r="I354" s="30">
        <f>IFERROR(__xludf.DUMMYFUNCTION("IF(REGEXMATCH(F354,""Cari Kerja""),1,0)"),0.0)</f>
        <v>0</v>
      </c>
    </row>
    <row r="355">
      <c r="A355" s="11">
        <v>354.0</v>
      </c>
      <c r="B355" s="30" t="s">
        <v>1546</v>
      </c>
      <c r="C355" s="30" t="s">
        <v>49</v>
      </c>
      <c r="D355" s="30" t="s">
        <v>1547</v>
      </c>
      <c r="E355" s="30" t="s">
        <v>305</v>
      </c>
      <c r="F355" s="30" t="s">
        <v>23</v>
      </c>
      <c r="G355" s="30" t="s">
        <v>24</v>
      </c>
      <c r="H355" s="30" t="str">
        <f>IFERROR(VLOOKUP(TRIM(IF(ISNUMBER(FIND(",", B355)),LEFT(B355,FIND(",",B355)-1),B355)),master!A:B,2,FALSE),"Belum ada mapping")
</f>
        <v>Sumatera Utara</v>
      </c>
      <c r="I355" s="30">
        <f>IFERROR(__xludf.DUMMYFUNCTION("IF(REGEXMATCH(F355,""Cari Kerja""),1,0)"),1.0)</f>
        <v>1</v>
      </c>
    </row>
    <row r="356">
      <c r="A356" s="11">
        <v>355.0</v>
      </c>
      <c r="B356" s="30" t="s">
        <v>207</v>
      </c>
      <c r="C356" s="30" t="s">
        <v>20</v>
      </c>
      <c r="D356" s="30" t="s">
        <v>365</v>
      </c>
      <c r="E356" s="30" t="s">
        <v>245</v>
      </c>
      <c r="F356" s="30" t="s">
        <v>31</v>
      </c>
      <c r="G356" s="30" t="s">
        <v>24</v>
      </c>
      <c r="H356" s="30" t="str">
        <f>IFERROR(VLOOKUP(TRIM(IF(ISNUMBER(FIND(",", B356)),LEFT(B356,FIND(",",B356)-1),B356)),master!A:B,2,FALSE),"Belum ada mapping")
</f>
        <v>Jakarta</v>
      </c>
      <c r="I356" s="30">
        <f>IFERROR(__xludf.DUMMYFUNCTION("IF(REGEXMATCH(F356,""Cari Kerja""),1,0)"),1.0)</f>
        <v>1</v>
      </c>
    </row>
    <row r="357">
      <c r="A357" s="11">
        <v>356.0</v>
      </c>
      <c r="B357" s="30" t="s">
        <v>35</v>
      </c>
      <c r="C357" s="30" t="s">
        <v>49</v>
      </c>
      <c r="D357" s="30" t="s">
        <v>1554</v>
      </c>
      <c r="E357" s="30" t="s">
        <v>51</v>
      </c>
      <c r="F357" s="30" t="s">
        <v>52</v>
      </c>
      <c r="G357" s="30" t="s">
        <v>24</v>
      </c>
      <c r="H357" s="30" t="str">
        <f>IFERROR(VLOOKUP(TRIM(IF(ISNUMBER(FIND(",", B357)),LEFT(B357,FIND(",",B357)-1),B357)),master!A:B,2,FALSE),"Belum ada mapping")
</f>
        <v>Jawa Timur</v>
      </c>
      <c r="I357" s="30">
        <f>IFERROR(__xludf.DUMMYFUNCTION("IF(REGEXMATCH(F357,""Cari Kerja""),1,0)"),0.0)</f>
        <v>0</v>
      </c>
    </row>
    <row r="358">
      <c r="A358" s="11">
        <v>357.0</v>
      </c>
      <c r="B358" s="30" t="s">
        <v>596</v>
      </c>
      <c r="C358" s="30" t="s">
        <v>20</v>
      </c>
      <c r="D358" s="30" t="s">
        <v>1558</v>
      </c>
      <c r="E358" s="30" t="s">
        <v>1559</v>
      </c>
      <c r="F358" s="30" t="s">
        <v>13</v>
      </c>
      <c r="G358" s="30" t="s">
        <v>24</v>
      </c>
      <c r="H358" s="30" t="str">
        <f>IFERROR(VLOOKUP(TRIM(IF(ISNUMBER(FIND(",", B358)),LEFT(B358,FIND(",",B358)-1),B358)),master!A:B,2,FALSE),"Belum ada mapping")
</f>
        <v>Jawa Timur</v>
      </c>
      <c r="I358" s="30">
        <f>IFERROR(__xludf.DUMMYFUNCTION("IF(REGEXMATCH(F358,""Cari Kerja""),1,0)"),0.0)</f>
        <v>0</v>
      </c>
    </row>
    <row r="359">
      <c r="A359" s="11">
        <v>358.0</v>
      </c>
      <c r="B359" s="30" t="s">
        <v>775</v>
      </c>
      <c r="C359" s="30" t="s">
        <v>49</v>
      </c>
      <c r="D359" s="30" t="s">
        <v>1563</v>
      </c>
      <c r="E359" s="30" t="s">
        <v>51</v>
      </c>
      <c r="F359" s="30" t="s">
        <v>13</v>
      </c>
      <c r="G359" s="30" t="s">
        <v>24</v>
      </c>
      <c r="H359" s="30" t="str">
        <f>IFERROR(VLOOKUP(TRIM(IF(ISNUMBER(FIND(",", B359)),LEFT(B359,FIND(",",B359)-1),B359)),master!A:B,2,FALSE),"Belum ada mapping")
</f>
        <v>Jakarta</v>
      </c>
      <c r="I359" s="30">
        <f>IFERROR(__xludf.DUMMYFUNCTION("IF(REGEXMATCH(F359,""Cari Kerja""),1,0)"),0.0)</f>
        <v>0</v>
      </c>
    </row>
    <row r="360">
      <c r="A360" s="11">
        <v>359.0</v>
      </c>
      <c r="B360" s="30" t="s">
        <v>48</v>
      </c>
      <c r="C360" s="30" t="s">
        <v>20</v>
      </c>
      <c r="D360" s="30" t="s">
        <v>1567</v>
      </c>
      <c r="E360" s="30" t="s">
        <v>51</v>
      </c>
      <c r="F360" s="30" t="s">
        <v>31</v>
      </c>
      <c r="G360" s="30" t="s">
        <v>76</v>
      </c>
      <c r="H360" s="30" t="str">
        <f>IFERROR(VLOOKUP(TRIM(IF(ISNUMBER(FIND(",", B360)),LEFT(B360,FIND(",",B360)-1),B360)),master!A:B,2,FALSE),"Belum ada mapping")
</f>
        <v>DI Yogyakarta</v>
      </c>
      <c r="I360" s="30">
        <f>IFERROR(__xludf.DUMMYFUNCTION("IF(REGEXMATCH(F360,""Cari Kerja""),1,0)"),1.0)</f>
        <v>1</v>
      </c>
    </row>
    <row r="361">
      <c r="A361" s="11">
        <v>360.0</v>
      </c>
      <c r="B361" s="30" t="s">
        <v>551</v>
      </c>
      <c r="C361" s="30" t="s">
        <v>20</v>
      </c>
      <c r="D361" s="30" t="s">
        <v>1571</v>
      </c>
      <c r="E361" s="30" t="s">
        <v>209</v>
      </c>
      <c r="F361" s="30" t="s">
        <v>23</v>
      </c>
      <c r="G361" s="30" t="s">
        <v>24</v>
      </c>
      <c r="H361" s="30" t="str">
        <f>IFERROR(VLOOKUP(TRIM(IF(ISNUMBER(FIND(",", B361)),LEFT(B361,FIND(",",B361)-1),B361)),master!A:B,2,FALSE),"Belum ada mapping")
</f>
        <v>Jawa Barat</v>
      </c>
      <c r="I361" s="30">
        <f>IFERROR(__xludf.DUMMYFUNCTION("IF(REGEXMATCH(F361,""Cari Kerja""),1,0)"),1.0)</f>
        <v>1</v>
      </c>
    </row>
    <row r="362">
      <c r="A362" s="11">
        <v>361.0</v>
      </c>
      <c r="B362" s="30" t="s">
        <v>174</v>
      </c>
      <c r="C362" s="30" t="s">
        <v>49</v>
      </c>
      <c r="D362" s="30" t="s">
        <v>1575</v>
      </c>
      <c r="E362" s="30" t="s">
        <v>245</v>
      </c>
      <c r="F362" s="30" t="s">
        <v>31</v>
      </c>
      <c r="G362" s="30" t="s">
        <v>24</v>
      </c>
      <c r="H362" s="30" t="str">
        <f>IFERROR(VLOOKUP(TRIM(IF(ISNUMBER(FIND(",", B362)),LEFT(B362,FIND(",",B362)-1),B362)),master!A:B,2,FALSE),"Belum ada mapping")
</f>
        <v>Jawa Timur</v>
      </c>
      <c r="I362" s="30">
        <f>IFERROR(__xludf.DUMMYFUNCTION("IF(REGEXMATCH(F362,""Cari Kerja""),1,0)"),1.0)</f>
        <v>1</v>
      </c>
    </row>
    <row r="363">
      <c r="A363" s="11">
        <v>362.0</v>
      </c>
      <c r="B363" s="30" t="s">
        <v>48</v>
      </c>
      <c r="C363" s="30" t="s">
        <v>49</v>
      </c>
      <c r="D363" s="30" t="s">
        <v>1579</v>
      </c>
      <c r="E363" s="30" t="s">
        <v>278</v>
      </c>
      <c r="F363" s="30" t="s">
        <v>23</v>
      </c>
      <c r="G363" s="30" t="s">
        <v>24</v>
      </c>
      <c r="H363" s="30" t="str">
        <f>IFERROR(VLOOKUP(TRIM(IF(ISNUMBER(FIND(",", B363)),LEFT(B363,FIND(",",B363)-1),B363)),master!A:B,2,FALSE),"Belum ada mapping")
</f>
        <v>DI Yogyakarta</v>
      </c>
      <c r="I363" s="30">
        <f>IFERROR(__xludf.DUMMYFUNCTION("IF(REGEXMATCH(F363,""Cari Kerja""),1,0)"),1.0)</f>
        <v>1</v>
      </c>
    </row>
    <row r="364">
      <c r="A364" s="11">
        <v>363.0</v>
      </c>
      <c r="B364" s="30" t="s">
        <v>837</v>
      </c>
      <c r="C364" s="30" t="s">
        <v>49</v>
      </c>
      <c r="D364" s="30" t="s">
        <v>1583</v>
      </c>
      <c r="E364" s="30" t="s">
        <v>51</v>
      </c>
      <c r="F364" s="30" t="s">
        <v>31</v>
      </c>
      <c r="G364" s="30" t="s">
        <v>24</v>
      </c>
      <c r="H364" s="30" t="str">
        <f>IFERROR(VLOOKUP(TRIM(IF(ISNUMBER(FIND(",", B364)),LEFT(B364,FIND(",",B364)-1),B364)),master!A:B,2,FALSE),"Belum ada mapping")
</f>
        <v>Jawa Barat</v>
      </c>
      <c r="I364" s="30">
        <f>IFERROR(__xludf.DUMMYFUNCTION("IF(REGEXMATCH(F364,""Cari Kerja""),1,0)"),1.0)</f>
        <v>1</v>
      </c>
    </row>
    <row r="365">
      <c r="A365" s="11">
        <v>364.0</v>
      </c>
      <c r="B365" s="30" t="s">
        <v>1587</v>
      </c>
      <c r="C365" s="30" t="s">
        <v>20</v>
      </c>
      <c r="D365" s="30" t="s">
        <v>69</v>
      </c>
      <c r="E365" s="30" t="s">
        <v>87</v>
      </c>
      <c r="F365" s="30" t="s">
        <v>23</v>
      </c>
      <c r="G365" s="30" t="s">
        <v>24</v>
      </c>
      <c r="H365" s="30" t="str">
        <f>IFERROR(VLOOKUP(TRIM(IF(ISNUMBER(FIND(",", B365)),LEFT(B365,FIND(",",B365)-1),B365)),master!A:B,2,FALSE),"Belum ada mapping")
</f>
        <v>Sumatra Selatan</v>
      </c>
      <c r="I365" s="30">
        <f>IFERROR(__xludf.DUMMYFUNCTION("IF(REGEXMATCH(F365,""Cari Kerja""),1,0)"),1.0)</f>
        <v>1</v>
      </c>
    </row>
    <row r="366">
      <c r="A366" s="11">
        <v>365.0</v>
      </c>
      <c r="B366" s="30" t="s">
        <v>1591</v>
      </c>
      <c r="C366" s="30" t="s">
        <v>20</v>
      </c>
      <c r="D366" s="30" t="s">
        <v>149</v>
      </c>
      <c r="E366" s="30" t="s">
        <v>1592</v>
      </c>
      <c r="F366" s="30" t="s">
        <v>31</v>
      </c>
      <c r="G366" s="30" t="s">
        <v>24</v>
      </c>
      <c r="H366" s="30" t="str">
        <f>IFERROR(VLOOKUP(TRIM(IF(ISNUMBER(FIND(",", B366)),LEFT(B366,FIND(",",B366)-1),B366)),master!A:B,2,FALSE),"Belum ada mapping")
</f>
        <v>Bengkulu</v>
      </c>
      <c r="I366" s="30">
        <f>IFERROR(__xludf.DUMMYFUNCTION("IF(REGEXMATCH(F366,""Cari Kerja""),1,0)"),1.0)</f>
        <v>1</v>
      </c>
    </row>
    <row r="367">
      <c r="A367" s="11">
        <v>366.0</v>
      </c>
      <c r="B367" s="30" t="s">
        <v>1596</v>
      </c>
      <c r="C367" s="30" t="s">
        <v>20</v>
      </c>
      <c r="D367" s="30" t="s">
        <v>21</v>
      </c>
      <c r="E367" s="30" t="s">
        <v>30</v>
      </c>
      <c r="F367" s="30" t="s">
        <v>23</v>
      </c>
      <c r="G367" s="30" t="s">
        <v>38</v>
      </c>
      <c r="H367" s="30" t="str">
        <f>IFERROR(VLOOKUP(TRIM(IF(ISNUMBER(FIND(",", B367)),LEFT(B367,FIND(",",B367)-1),B367)),master!A:B,2,FALSE),"Belum ada mapping")
</f>
        <v>Nusa Tenggara Barat</v>
      </c>
      <c r="I367" s="30">
        <f>IFERROR(__xludf.DUMMYFUNCTION("IF(REGEXMATCH(F367,""Cari Kerja""),1,0)"),1.0)</f>
        <v>1</v>
      </c>
    </row>
    <row r="368">
      <c r="A368" s="11">
        <v>367.0</v>
      </c>
      <c r="B368" s="30" t="s">
        <v>1600</v>
      </c>
      <c r="C368" s="30" t="s">
        <v>49</v>
      </c>
      <c r="D368" s="30" t="s">
        <v>720</v>
      </c>
      <c r="E368" s="30" t="s">
        <v>1601</v>
      </c>
      <c r="F368" s="30" t="s">
        <v>13</v>
      </c>
      <c r="G368" s="30" t="s">
        <v>24</v>
      </c>
      <c r="H368" s="30" t="str">
        <f>IFERROR(VLOOKUP(TRIM(IF(ISNUMBER(FIND(",", B368)),LEFT(B368,FIND(",",B368)-1),B368)),master!A:B,2,FALSE),"Belum ada mapping")
</f>
        <v>Kalimantan Selatan</v>
      </c>
      <c r="I368" s="30">
        <f>IFERROR(__xludf.DUMMYFUNCTION("IF(REGEXMATCH(F368,""Cari Kerja""),1,0)"),0.0)</f>
        <v>0</v>
      </c>
    </row>
    <row r="369">
      <c r="A369" s="11">
        <v>368.0</v>
      </c>
      <c r="B369" s="30" t="s">
        <v>92</v>
      </c>
      <c r="C369" s="30" t="s">
        <v>20</v>
      </c>
      <c r="D369" s="30" t="s">
        <v>1605</v>
      </c>
      <c r="E369" s="30" t="s">
        <v>209</v>
      </c>
      <c r="F369" s="30" t="s">
        <v>52</v>
      </c>
      <c r="G369" s="30" t="s">
        <v>24</v>
      </c>
      <c r="H369" s="30" t="str">
        <f>IFERROR(VLOOKUP(TRIM(IF(ISNUMBER(FIND(",", B369)),LEFT(B369,FIND(",",B369)-1),B369)),master!A:B,2,FALSE),"Belum ada mapping")
</f>
        <v>Jawa Barat</v>
      </c>
      <c r="I369" s="30">
        <f>IFERROR(__xludf.DUMMYFUNCTION("IF(REGEXMATCH(F369,""Cari Kerja""),1,0)"),0.0)</f>
        <v>0</v>
      </c>
    </row>
    <row r="370">
      <c r="A370" s="11">
        <v>369.0</v>
      </c>
      <c r="B370" s="30" t="s">
        <v>35</v>
      </c>
      <c r="C370" s="30" t="s">
        <v>49</v>
      </c>
      <c r="D370" s="30" t="s">
        <v>1609</v>
      </c>
      <c r="E370" s="30" t="s">
        <v>225</v>
      </c>
      <c r="F370" s="30" t="s">
        <v>31</v>
      </c>
      <c r="G370" s="30" t="s">
        <v>24</v>
      </c>
      <c r="H370" s="30" t="str">
        <f>IFERROR(VLOOKUP(TRIM(IF(ISNUMBER(FIND(",", B370)),LEFT(B370,FIND(",",B370)-1),B370)),master!A:B,2,FALSE),"Belum ada mapping")
</f>
        <v>Jawa Timur</v>
      </c>
      <c r="I370" s="30">
        <f>IFERROR(__xludf.DUMMYFUNCTION("IF(REGEXMATCH(F370,""Cari Kerja""),1,0)"),1.0)</f>
        <v>1</v>
      </c>
    </row>
    <row r="371">
      <c r="A371" s="11">
        <v>370.0</v>
      </c>
      <c r="B371" s="30" t="s">
        <v>551</v>
      </c>
      <c r="C371" s="30" t="s">
        <v>20</v>
      </c>
      <c r="D371" s="30" t="s">
        <v>1613</v>
      </c>
      <c r="E371" s="30" t="s">
        <v>51</v>
      </c>
      <c r="F371" s="30" t="s">
        <v>15</v>
      </c>
      <c r="G371" s="30" t="s">
        <v>24</v>
      </c>
      <c r="H371" s="30" t="str">
        <f>IFERROR(VLOOKUP(TRIM(IF(ISNUMBER(FIND(",", B371)),LEFT(B371,FIND(",",B371)-1),B371)),master!A:B,2,FALSE),"Belum ada mapping")
</f>
        <v>Jawa Barat</v>
      </c>
      <c r="I371" s="30">
        <f>IFERROR(__xludf.DUMMYFUNCTION("IF(REGEXMATCH(F371,""Cari Kerja""),1,0)"),0.0)</f>
        <v>0</v>
      </c>
    </row>
    <row r="372">
      <c r="A372" s="11">
        <v>371.0</v>
      </c>
      <c r="B372" s="30" t="s">
        <v>1617</v>
      </c>
      <c r="C372" s="30" t="s">
        <v>49</v>
      </c>
      <c r="D372" s="30" t="s">
        <v>1618</v>
      </c>
      <c r="E372" s="30" t="s">
        <v>1456</v>
      </c>
      <c r="F372" s="30" t="s">
        <v>59</v>
      </c>
      <c r="G372" s="30" t="s">
        <v>24</v>
      </c>
      <c r="H372" s="30" t="str">
        <f>IFERROR(VLOOKUP(TRIM(IF(ISNUMBER(FIND(",", B372)),LEFT(B372,FIND(",",B372)-1),B372)),master!A:B,2,FALSE),"Belum ada mapping")
</f>
        <v>Jakarta</v>
      </c>
      <c r="I372" s="30">
        <f>IFERROR(__xludf.DUMMYFUNCTION("IF(REGEXMATCH(F372,""Cari Kerja""),1,0)"),0.0)</f>
        <v>0</v>
      </c>
    </row>
    <row r="373">
      <c r="A373" s="11">
        <v>372.0</v>
      </c>
      <c r="B373" s="30" t="s">
        <v>207</v>
      </c>
      <c r="C373" s="30" t="s">
        <v>49</v>
      </c>
      <c r="D373" s="30" t="s">
        <v>365</v>
      </c>
      <c r="E373" s="30" t="s">
        <v>69</v>
      </c>
      <c r="F373" s="30" t="s">
        <v>14</v>
      </c>
      <c r="G373" s="30" t="s">
        <v>24</v>
      </c>
      <c r="H373" s="30" t="str">
        <f>IFERROR(VLOOKUP(TRIM(IF(ISNUMBER(FIND(",", B373)),LEFT(B373,FIND(",",B373)-1),B373)),master!A:B,2,FALSE),"Belum ada mapping")
</f>
        <v>Jakarta</v>
      </c>
      <c r="I373" s="30">
        <f>IFERROR(__xludf.DUMMYFUNCTION("IF(REGEXMATCH(F373,""Cari Kerja""),1,0)"),0.0)</f>
        <v>0</v>
      </c>
    </row>
    <row r="374">
      <c r="A374" s="11">
        <v>373.0</v>
      </c>
      <c r="B374" s="30" t="s">
        <v>1625</v>
      </c>
      <c r="C374" s="30" t="s">
        <v>20</v>
      </c>
      <c r="D374" s="30" t="s">
        <v>267</v>
      </c>
      <c r="E374" s="30" t="s">
        <v>439</v>
      </c>
      <c r="F374" s="30" t="s">
        <v>23</v>
      </c>
      <c r="G374" s="30" t="s">
        <v>24</v>
      </c>
      <c r="H374" s="30" t="str">
        <f>IFERROR(VLOOKUP(TRIM(IF(ISNUMBER(FIND(",", B374)),LEFT(B374,FIND(",",B374)-1),B374)),master!A:B,2,FALSE),"Belum ada mapping")
</f>
        <v>Kalimantan Timur</v>
      </c>
      <c r="I374" s="30">
        <f>IFERROR(__xludf.DUMMYFUNCTION("IF(REGEXMATCH(F374,""Cari Kerja""),1,0)"),1.0)</f>
        <v>1</v>
      </c>
    </row>
    <row r="375">
      <c r="A375" s="11">
        <v>374.0</v>
      </c>
      <c r="B375" s="30" t="s">
        <v>1010</v>
      </c>
      <c r="C375" s="30" t="s">
        <v>20</v>
      </c>
      <c r="D375" s="30" t="s">
        <v>1629</v>
      </c>
      <c r="E375" s="30" t="s">
        <v>51</v>
      </c>
      <c r="F375" s="30" t="s">
        <v>23</v>
      </c>
      <c r="G375" s="30" t="s">
        <v>24</v>
      </c>
      <c r="H375" s="30" t="str">
        <f>IFERROR(VLOOKUP(TRIM(IF(ISNUMBER(FIND(",", B375)),LEFT(B375,FIND(",",B375)-1),B375)),master!A:B,2,FALSE),"Belum ada mapping")
</f>
        <v>Jawa Barat</v>
      </c>
      <c r="I375" s="30">
        <f>IFERROR(__xludf.DUMMYFUNCTION("IF(REGEXMATCH(F375,""Cari Kerja""),1,0)"),1.0)</f>
        <v>1</v>
      </c>
    </row>
    <row r="376">
      <c r="A376" s="11">
        <v>375.0</v>
      </c>
      <c r="B376" s="30" t="s">
        <v>385</v>
      </c>
      <c r="C376" s="30" t="s">
        <v>49</v>
      </c>
      <c r="D376" s="30" t="s">
        <v>1633</v>
      </c>
      <c r="E376" s="30" t="s">
        <v>37</v>
      </c>
      <c r="F376" s="30" t="s">
        <v>59</v>
      </c>
      <c r="G376" s="30" t="s">
        <v>24</v>
      </c>
      <c r="H376" s="30" t="str">
        <f>IFERROR(VLOOKUP(TRIM(IF(ISNUMBER(FIND(",", B376)),LEFT(B376,FIND(",",B376)-1),B376)),master!A:B,2,FALSE),"Belum ada mapping")
</f>
        <v>Kalimantan Timur</v>
      </c>
      <c r="I376" s="30">
        <f>IFERROR(__xludf.DUMMYFUNCTION("IF(REGEXMATCH(F376,""Cari Kerja""),1,0)"),0.0)</f>
        <v>0</v>
      </c>
    </row>
    <row r="377">
      <c r="A377" s="11">
        <v>376.0</v>
      </c>
      <c r="B377" s="30" t="s">
        <v>207</v>
      </c>
      <c r="C377" s="30" t="s">
        <v>20</v>
      </c>
      <c r="D377" s="30" t="s">
        <v>1637</v>
      </c>
      <c r="E377" s="30" t="s">
        <v>209</v>
      </c>
      <c r="F377" s="30" t="s">
        <v>52</v>
      </c>
      <c r="G377" s="30" t="s">
        <v>24</v>
      </c>
      <c r="H377" s="30" t="str">
        <f>IFERROR(VLOOKUP(TRIM(IF(ISNUMBER(FIND(",", B377)),LEFT(B377,FIND(",",B377)-1),B377)),master!A:B,2,FALSE),"Belum ada mapping")
</f>
        <v>Jakarta</v>
      </c>
      <c r="I377" s="30">
        <f>IFERROR(__xludf.DUMMYFUNCTION("IF(REGEXMATCH(F377,""Cari Kerja""),1,0)"),0.0)</f>
        <v>0</v>
      </c>
    </row>
    <row r="378">
      <c r="A378" s="11">
        <v>377.0</v>
      </c>
      <c r="B378" s="30" t="s">
        <v>74</v>
      </c>
      <c r="C378" s="30" t="s">
        <v>49</v>
      </c>
      <c r="D378" s="30" t="s">
        <v>1641</v>
      </c>
      <c r="E378" s="30" t="s">
        <v>709</v>
      </c>
      <c r="F378" s="30" t="s">
        <v>23</v>
      </c>
      <c r="G378" s="30" t="s">
        <v>24</v>
      </c>
      <c r="H378" s="30" t="str">
        <f>IFERROR(VLOOKUP(TRIM(IF(ISNUMBER(FIND(",", B378)),LEFT(B378,FIND(",",B378)-1),B378)),master!A:B,2,FALSE),"Belum ada mapping")
</f>
        <v>Banten</v>
      </c>
      <c r="I378" s="30">
        <f>IFERROR(__xludf.DUMMYFUNCTION("IF(REGEXMATCH(F378,""Cari Kerja""),1,0)"),1.0)</f>
        <v>1</v>
      </c>
    </row>
    <row r="379">
      <c r="A379" s="11">
        <v>378.0</v>
      </c>
      <c r="B379" s="30" t="s">
        <v>74</v>
      </c>
      <c r="C379" s="30" t="s">
        <v>49</v>
      </c>
      <c r="D379" s="30" t="s">
        <v>1642</v>
      </c>
      <c r="E379" s="30" t="s">
        <v>1643</v>
      </c>
      <c r="F379" s="30" t="s">
        <v>23</v>
      </c>
      <c r="G379" s="30" t="s">
        <v>24</v>
      </c>
      <c r="H379" s="30" t="str">
        <f>IFERROR(VLOOKUP(TRIM(IF(ISNUMBER(FIND(",", B379)),LEFT(B379,FIND(",",B379)-1),B379)),master!A:B,2,FALSE),"Belum ada mapping")
</f>
        <v>Banten</v>
      </c>
      <c r="I379" s="30">
        <f>IFERROR(__xludf.DUMMYFUNCTION("IF(REGEXMATCH(F379,""Cari Kerja""),1,0)"),1.0)</f>
        <v>1</v>
      </c>
    </row>
    <row r="380">
      <c r="A380" s="11">
        <v>379.0</v>
      </c>
      <c r="B380" s="30" t="s">
        <v>1647</v>
      </c>
      <c r="C380" s="30" t="s">
        <v>20</v>
      </c>
      <c r="D380" s="30" t="s">
        <v>1648</v>
      </c>
      <c r="E380" s="30" t="s">
        <v>346</v>
      </c>
      <c r="F380" s="30" t="s">
        <v>23</v>
      </c>
      <c r="G380" s="30" t="s">
        <v>24</v>
      </c>
      <c r="H380" s="30" t="str">
        <f>IFERROR(VLOOKUP(TRIM(IF(ISNUMBER(FIND(",", B380)),LEFT(B380,FIND(",",B380)-1),B380)),master!A:B,2,FALSE),"Belum ada mapping")
</f>
        <v>Jawa Tengah</v>
      </c>
      <c r="I380" s="30">
        <f>IFERROR(__xludf.DUMMYFUNCTION("IF(REGEXMATCH(F380,""Cari Kerja""),1,0)"),1.0)</f>
        <v>1</v>
      </c>
    </row>
    <row r="381">
      <c r="A381" s="11">
        <v>380.0</v>
      </c>
      <c r="B381" s="30" t="s">
        <v>1647</v>
      </c>
      <c r="C381" s="30" t="s">
        <v>20</v>
      </c>
      <c r="D381" s="30" t="s">
        <v>1648</v>
      </c>
      <c r="E381" s="30" t="s">
        <v>439</v>
      </c>
      <c r="F381" s="30" t="s">
        <v>130</v>
      </c>
      <c r="G381" s="30" t="s">
        <v>24</v>
      </c>
      <c r="H381" s="30" t="str">
        <f>IFERROR(VLOOKUP(TRIM(IF(ISNUMBER(FIND(",", B381)),LEFT(B381,FIND(",",B381)-1),B381)),master!A:B,2,FALSE),"Belum ada mapping")
</f>
        <v>Jawa Tengah</v>
      </c>
      <c r="I381" s="30">
        <f>IFERROR(__xludf.DUMMYFUNCTION("IF(REGEXMATCH(F381,""Cari Kerja""),1,0)"),1.0)</f>
        <v>1</v>
      </c>
    </row>
    <row r="382">
      <c r="A382" s="11">
        <v>381.0</v>
      </c>
      <c r="B382" s="30" t="s">
        <v>1652</v>
      </c>
      <c r="C382" s="30" t="s">
        <v>49</v>
      </c>
      <c r="D382" s="30" t="s">
        <v>149</v>
      </c>
      <c r="E382" s="30" t="s">
        <v>203</v>
      </c>
      <c r="F382" s="30" t="s">
        <v>59</v>
      </c>
      <c r="G382" s="30" t="s">
        <v>24</v>
      </c>
      <c r="H382" s="30" t="str">
        <f>IFERROR(VLOOKUP(TRIM(IF(ISNUMBER(FIND(",", B382)),LEFT(B382,FIND(",",B382)-1),B382)),master!A:B,2,FALSE),"Belum ada mapping")
</f>
        <v>DI Yogyakarta</v>
      </c>
      <c r="I382" s="30">
        <f>IFERROR(__xludf.DUMMYFUNCTION("IF(REGEXMATCH(F382,""Cari Kerja""),1,0)"),0.0)</f>
        <v>0</v>
      </c>
    </row>
    <row r="383">
      <c r="A383" s="11">
        <v>382.0</v>
      </c>
      <c r="B383" s="30" t="s">
        <v>1656</v>
      </c>
      <c r="C383" s="30" t="s">
        <v>49</v>
      </c>
      <c r="D383" s="30" t="s">
        <v>1657</v>
      </c>
      <c r="E383" s="30" t="s">
        <v>1658</v>
      </c>
      <c r="F383" s="30" t="s">
        <v>13</v>
      </c>
      <c r="G383" s="30" t="s">
        <v>24</v>
      </c>
      <c r="H383" s="30" t="str">
        <f>IFERROR(VLOOKUP(TRIM(IF(ISNUMBER(FIND(",", B383)),LEFT(B383,FIND(",",B383)-1),B383)),master!A:B,2,FALSE),"Belum ada mapping")
</f>
        <v>Sumatera Barat</v>
      </c>
      <c r="I383" s="30">
        <f>IFERROR(__xludf.DUMMYFUNCTION("IF(REGEXMATCH(F383,""Cari Kerja""),1,0)"),0.0)</f>
        <v>0</v>
      </c>
    </row>
    <row r="384">
      <c r="A384" s="11">
        <v>383.0</v>
      </c>
      <c r="B384" s="30" t="s">
        <v>364</v>
      </c>
      <c r="C384" s="30" t="s">
        <v>49</v>
      </c>
      <c r="D384" s="30" t="s">
        <v>169</v>
      </c>
      <c r="E384" s="30" t="s">
        <v>340</v>
      </c>
      <c r="F384" s="30" t="s">
        <v>130</v>
      </c>
      <c r="G384" s="30" t="s">
        <v>24</v>
      </c>
      <c r="H384" s="30" t="str">
        <f>IFERROR(VLOOKUP(TRIM(IF(ISNUMBER(FIND(",", B384)),LEFT(B384,FIND(",",B384)-1),B384)),master!A:B,2,FALSE),"Belum ada mapping")
</f>
        <v>Jakarta</v>
      </c>
      <c r="I384" s="30">
        <f>IFERROR(__xludf.DUMMYFUNCTION("IF(REGEXMATCH(F384,""Cari Kerja""),1,0)"),1.0)</f>
        <v>1</v>
      </c>
    </row>
    <row r="385">
      <c r="A385" s="11">
        <v>384.0</v>
      </c>
      <c r="B385" s="30" t="s">
        <v>151</v>
      </c>
      <c r="C385" s="30" t="s">
        <v>20</v>
      </c>
      <c r="D385" s="30" t="s">
        <v>149</v>
      </c>
      <c r="E385" s="30" t="s">
        <v>136</v>
      </c>
      <c r="F385" s="30" t="s">
        <v>31</v>
      </c>
      <c r="G385" s="30" t="s">
        <v>24</v>
      </c>
      <c r="H385" s="30" t="str">
        <f>IFERROR(VLOOKUP(TRIM(IF(ISNUMBER(FIND(",", B385)),LEFT(B385,FIND(",",B385)-1),B385)),master!A:B,2,FALSE),"Belum ada mapping")
</f>
        <v>Riau</v>
      </c>
      <c r="I385" s="30">
        <f>IFERROR(__xludf.DUMMYFUNCTION("IF(REGEXMATCH(F385,""Cari Kerja""),1,0)"),1.0)</f>
        <v>1</v>
      </c>
    </row>
    <row r="386">
      <c r="A386" s="11">
        <v>385.0</v>
      </c>
      <c r="B386" s="30" t="s">
        <v>97</v>
      </c>
      <c r="C386" s="30" t="s">
        <v>49</v>
      </c>
      <c r="D386" s="30" t="s">
        <v>945</v>
      </c>
      <c r="E386" s="30" t="s">
        <v>187</v>
      </c>
      <c r="F386" s="30" t="s">
        <v>13</v>
      </c>
      <c r="G386" s="30" t="s">
        <v>24</v>
      </c>
      <c r="H386" s="30" t="str">
        <f>IFERROR(VLOOKUP(TRIM(IF(ISNUMBER(FIND(",", B386)),LEFT(B386,FIND(",",B386)-1),B386)),master!A:B,2,FALSE),"Belum ada mapping")
</f>
        <v>Jakarta</v>
      </c>
      <c r="I386" s="30">
        <f>IFERROR(__xludf.DUMMYFUNCTION("IF(REGEXMATCH(F386,""Cari Kerja""),1,0)"),0.0)</f>
        <v>0</v>
      </c>
    </row>
    <row r="387">
      <c r="A387" s="11">
        <v>386.0</v>
      </c>
      <c r="B387" s="30" t="s">
        <v>218</v>
      </c>
      <c r="C387" s="30" t="s">
        <v>20</v>
      </c>
      <c r="D387" s="30" t="s">
        <v>1671</v>
      </c>
      <c r="E387" s="30" t="s">
        <v>51</v>
      </c>
      <c r="F387" s="30" t="s">
        <v>23</v>
      </c>
      <c r="G387" s="30" t="s">
        <v>24</v>
      </c>
      <c r="H387" s="30" t="str">
        <f>IFERROR(VLOOKUP(TRIM(IF(ISNUMBER(FIND(",", B387)),LEFT(B387,FIND(",",B387)-1),B387)),master!A:B,2,FALSE),"Belum ada mapping")
</f>
        <v>Banten</v>
      </c>
      <c r="I387" s="30">
        <f>IFERROR(__xludf.DUMMYFUNCTION("IF(REGEXMATCH(F387,""Cari Kerja""),1,0)"),1.0)</f>
        <v>1</v>
      </c>
    </row>
    <row r="388">
      <c r="A388" s="11">
        <v>387.0</v>
      </c>
      <c r="B388" s="30" t="s">
        <v>1675</v>
      </c>
      <c r="C388" s="30" t="s">
        <v>20</v>
      </c>
      <c r="D388" s="30" t="s">
        <v>69</v>
      </c>
      <c r="E388" s="30" t="s">
        <v>209</v>
      </c>
      <c r="F388" s="30" t="s">
        <v>23</v>
      </c>
      <c r="G388" s="30" t="s">
        <v>24</v>
      </c>
      <c r="H388" s="30" t="str">
        <f>IFERROR(VLOOKUP(TRIM(IF(ISNUMBER(FIND(",", B388)),LEFT(B388,FIND(",",B388)-1),B388)),master!A:B,2,FALSE),"Belum ada mapping")
</f>
        <v>Aceh</v>
      </c>
      <c r="I388" s="30">
        <f>IFERROR(__xludf.DUMMYFUNCTION("IF(REGEXMATCH(F388,""Cari Kerja""),1,0)"),1.0)</f>
        <v>1</v>
      </c>
    </row>
    <row r="389">
      <c r="A389" s="11">
        <v>388.0</v>
      </c>
      <c r="B389" s="30" t="s">
        <v>1600</v>
      </c>
      <c r="C389" s="30" t="s">
        <v>49</v>
      </c>
      <c r="D389" s="30" t="s">
        <v>1679</v>
      </c>
      <c r="E389" s="30" t="s">
        <v>1680</v>
      </c>
      <c r="F389" s="30" t="s">
        <v>59</v>
      </c>
      <c r="G389" s="30" t="s">
        <v>24</v>
      </c>
      <c r="H389" s="30" t="str">
        <f>IFERROR(VLOOKUP(TRIM(IF(ISNUMBER(FIND(",", B389)),LEFT(B389,FIND(",",B389)-1),B389)),master!A:B,2,FALSE),"Belum ada mapping")
</f>
        <v>Kalimantan Selatan</v>
      </c>
      <c r="I389" s="30">
        <f>IFERROR(__xludf.DUMMYFUNCTION("IF(REGEXMATCH(F389,""Cari Kerja""),1,0)"),0.0)</f>
        <v>0</v>
      </c>
    </row>
    <row r="390">
      <c r="A390" s="11">
        <v>389.0</v>
      </c>
      <c r="B390" s="30" t="s">
        <v>35</v>
      </c>
      <c r="C390" s="30" t="s">
        <v>20</v>
      </c>
      <c r="D390" s="30" t="s">
        <v>21</v>
      </c>
      <c r="E390" s="30" t="s">
        <v>51</v>
      </c>
      <c r="F390" s="30" t="s">
        <v>31</v>
      </c>
      <c r="G390" s="30" t="s">
        <v>24</v>
      </c>
      <c r="H390" s="30" t="str">
        <f>IFERROR(VLOOKUP(TRIM(IF(ISNUMBER(FIND(",", B390)),LEFT(B390,FIND(",",B390)-1),B390)),master!A:B,2,FALSE),"Belum ada mapping")
</f>
        <v>Jawa Timur</v>
      </c>
      <c r="I390" s="30">
        <f>IFERROR(__xludf.DUMMYFUNCTION("IF(REGEXMATCH(F390,""Cari Kerja""),1,0)"),1.0)</f>
        <v>1</v>
      </c>
    </row>
    <row r="391">
      <c r="A391" s="11">
        <v>390.0</v>
      </c>
      <c r="B391" s="30" t="s">
        <v>1536</v>
      </c>
      <c r="C391" s="30" t="s">
        <v>49</v>
      </c>
      <c r="D391" s="30" t="s">
        <v>1687</v>
      </c>
      <c r="E391" s="30" t="s">
        <v>51</v>
      </c>
      <c r="F391" s="30" t="s">
        <v>52</v>
      </c>
      <c r="G391" s="30" t="s">
        <v>24</v>
      </c>
      <c r="H391" s="30" t="str">
        <f>IFERROR(VLOOKUP(TRIM(IF(ISNUMBER(FIND(",", B391)),LEFT(B391,FIND(",",B391)-1),B391)),master!A:B,2,FALSE),"Belum ada mapping")
</f>
        <v>Jawa Timur</v>
      </c>
      <c r="I391" s="30">
        <f>IFERROR(__xludf.DUMMYFUNCTION("IF(REGEXMATCH(F391,""Cari Kerja""),1,0)"),0.0)</f>
        <v>0</v>
      </c>
    </row>
    <row r="392">
      <c r="A392" s="11">
        <v>391.0</v>
      </c>
      <c r="B392" s="30" t="s">
        <v>364</v>
      </c>
      <c r="C392" s="30" t="s">
        <v>49</v>
      </c>
      <c r="D392" s="30" t="s">
        <v>1691</v>
      </c>
      <c r="E392" s="30" t="s">
        <v>51</v>
      </c>
      <c r="F392" s="30" t="s">
        <v>23</v>
      </c>
      <c r="G392" s="30" t="s">
        <v>24</v>
      </c>
      <c r="H392" s="30" t="str">
        <f>IFERROR(VLOOKUP(TRIM(IF(ISNUMBER(FIND(",", B392)),LEFT(B392,FIND(",",B392)-1),B392)),master!A:B,2,FALSE),"Belum ada mapping")
</f>
        <v>Jakarta</v>
      </c>
      <c r="I392" s="30">
        <f>IFERROR(__xludf.DUMMYFUNCTION("IF(REGEXMATCH(F392,""Cari Kerja""),1,0)"),1.0)</f>
        <v>1</v>
      </c>
    </row>
    <row r="393">
      <c r="A393" s="11">
        <v>392.0</v>
      </c>
      <c r="B393" s="30" t="s">
        <v>364</v>
      </c>
      <c r="C393" s="30" t="s">
        <v>49</v>
      </c>
      <c r="D393" s="30" t="s">
        <v>1692</v>
      </c>
      <c r="E393" s="30" t="s">
        <v>370</v>
      </c>
      <c r="F393" s="30" t="s">
        <v>23</v>
      </c>
      <c r="G393" s="30" t="s">
        <v>24</v>
      </c>
      <c r="H393" s="30" t="str">
        <f>IFERROR(VLOOKUP(TRIM(IF(ISNUMBER(FIND(",", B393)),LEFT(B393,FIND(",",B393)-1),B393)),master!A:B,2,FALSE),"Belum ada mapping")
</f>
        <v>Jakarta</v>
      </c>
      <c r="I393" s="30">
        <f>IFERROR(__xludf.DUMMYFUNCTION("IF(REGEXMATCH(F393,""Cari Kerja""),1,0)"),1.0)</f>
        <v>1</v>
      </c>
    </row>
    <row r="394">
      <c r="A394" s="11">
        <v>393.0</v>
      </c>
      <c r="B394" s="30" t="s">
        <v>551</v>
      </c>
      <c r="C394" s="30" t="s">
        <v>20</v>
      </c>
      <c r="D394" s="30" t="s">
        <v>656</v>
      </c>
      <c r="E394" s="30" t="s">
        <v>51</v>
      </c>
      <c r="F394" s="30" t="s">
        <v>23</v>
      </c>
      <c r="G394" s="30" t="s">
        <v>38</v>
      </c>
      <c r="H394" s="30" t="str">
        <f>IFERROR(VLOOKUP(TRIM(IF(ISNUMBER(FIND(",", B394)),LEFT(B394,FIND(",",B394)-1),B394)),master!A:B,2,FALSE),"Belum ada mapping")
</f>
        <v>Jawa Barat</v>
      </c>
      <c r="I394" s="30">
        <f>IFERROR(__xludf.DUMMYFUNCTION("IF(REGEXMATCH(F394,""Cari Kerja""),1,0)"),1.0)</f>
        <v>1</v>
      </c>
    </row>
    <row r="395">
      <c r="A395" s="11">
        <v>394.0</v>
      </c>
      <c r="B395" s="30" t="s">
        <v>551</v>
      </c>
      <c r="C395" s="30" t="s">
        <v>20</v>
      </c>
      <c r="D395" s="30" t="s">
        <v>656</v>
      </c>
      <c r="E395" s="30" t="s">
        <v>1697</v>
      </c>
      <c r="F395" s="30" t="s">
        <v>23</v>
      </c>
      <c r="G395" s="30" t="s">
        <v>38</v>
      </c>
      <c r="H395" s="30" t="str">
        <f>IFERROR(VLOOKUP(TRIM(IF(ISNUMBER(FIND(",", B395)),LEFT(B395,FIND(",",B395)-1),B395)),master!A:B,2,FALSE),"Belum ada mapping")
</f>
        <v>Jawa Barat</v>
      </c>
      <c r="I395" s="30">
        <f>IFERROR(__xludf.DUMMYFUNCTION("IF(REGEXMATCH(F395,""Cari Kerja""),1,0)"),1.0)</f>
        <v>1</v>
      </c>
    </row>
    <row r="396">
      <c r="A396" s="11">
        <v>395.0</v>
      </c>
      <c r="B396" s="30" t="s">
        <v>1701</v>
      </c>
      <c r="C396" s="30" t="s">
        <v>20</v>
      </c>
      <c r="D396" s="30" t="s">
        <v>1702</v>
      </c>
      <c r="E396" s="30" t="s">
        <v>51</v>
      </c>
      <c r="F396" s="30" t="s">
        <v>31</v>
      </c>
      <c r="G396" s="30" t="s">
        <v>24</v>
      </c>
      <c r="H396" s="30" t="str">
        <f>IFERROR(VLOOKUP(TRIM(IF(ISNUMBER(FIND(",", B396)),LEFT(B396,FIND(",",B396)-1),B396)),master!A:B,2,FALSE),"Belum ada mapping")
</f>
        <v>Jawa Tengah</v>
      </c>
      <c r="I396" s="30">
        <f>IFERROR(__xludf.DUMMYFUNCTION("IF(REGEXMATCH(F396,""Cari Kerja""),1,0)"),1.0)</f>
        <v>1</v>
      </c>
    </row>
    <row r="397">
      <c r="A397" s="11">
        <v>396.0</v>
      </c>
      <c r="B397" s="30" t="s">
        <v>92</v>
      </c>
      <c r="C397" s="30" t="s">
        <v>49</v>
      </c>
      <c r="D397" s="30" t="s">
        <v>1706</v>
      </c>
      <c r="E397" s="30" t="s">
        <v>278</v>
      </c>
      <c r="F397" s="30" t="s">
        <v>23</v>
      </c>
      <c r="G397" s="30" t="s">
        <v>24</v>
      </c>
      <c r="H397" s="30" t="str">
        <f>IFERROR(VLOOKUP(TRIM(IF(ISNUMBER(FIND(",", B397)),LEFT(B397,FIND(",",B397)-1),B397)),master!A:B,2,FALSE),"Belum ada mapping")
</f>
        <v>Jawa Barat</v>
      </c>
      <c r="I397" s="30">
        <f>IFERROR(__xludf.DUMMYFUNCTION("IF(REGEXMATCH(F397,""Cari Kerja""),1,0)"),1.0)</f>
        <v>1</v>
      </c>
    </row>
    <row r="398">
      <c r="A398" s="11">
        <v>397.0</v>
      </c>
      <c r="B398" s="30" t="s">
        <v>1710</v>
      </c>
      <c r="C398" s="30" t="s">
        <v>20</v>
      </c>
      <c r="D398" s="30" t="s">
        <v>1711</v>
      </c>
      <c r="E398" s="30" t="s">
        <v>1712</v>
      </c>
      <c r="F398" s="30" t="s">
        <v>59</v>
      </c>
      <c r="G398" s="30" t="s">
        <v>24</v>
      </c>
      <c r="H398" s="30" t="str">
        <f>IFERROR(VLOOKUP(TRIM(IF(ISNUMBER(FIND(",", B398)),LEFT(B398,FIND(",",B398)-1),B398)),master!A:B,2,FALSE),"Belum ada mapping")
</f>
        <v>DI Yogyakarta</v>
      </c>
      <c r="I398" s="30">
        <f>IFERROR(__xludf.DUMMYFUNCTION("IF(REGEXMATCH(F398,""Cari Kerja""),1,0)"),0.0)</f>
        <v>0</v>
      </c>
    </row>
    <row r="399">
      <c r="A399" s="11">
        <v>398.0</v>
      </c>
      <c r="B399" s="30" t="s">
        <v>122</v>
      </c>
      <c r="C399" s="30" t="s">
        <v>49</v>
      </c>
      <c r="D399" s="30" t="s">
        <v>1716</v>
      </c>
      <c r="E399" s="30" t="s">
        <v>51</v>
      </c>
      <c r="F399" s="30" t="s">
        <v>59</v>
      </c>
      <c r="G399" s="30" t="s">
        <v>24</v>
      </c>
      <c r="H399" s="30" t="str">
        <f>IFERROR(VLOOKUP(TRIM(IF(ISNUMBER(FIND(",", B399)),LEFT(B399,FIND(",",B399)-1),B399)),master!A:B,2,FALSE),"Belum ada mapping")
</f>
        <v>Sulawesi Selatan</v>
      </c>
      <c r="I399" s="30">
        <f>IFERROR(__xludf.DUMMYFUNCTION("IF(REGEXMATCH(F399,""Cari Kerja""),1,0)"),0.0)</f>
        <v>0</v>
      </c>
    </row>
    <row r="400">
      <c r="A400" s="11">
        <v>399.0</v>
      </c>
      <c r="B400" s="30" t="s">
        <v>484</v>
      </c>
      <c r="C400" s="30" t="s">
        <v>20</v>
      </c>
      <c r="D400" s="30" t="s">
        <v>1720</v>
      </c>
      <c r="E400" s="30" t="s">
        <v>225</v>
      </c>
      <c r="F400" s="30" t="s">
        <v>23</v>
      </c>
      <c r="G400" s="30" t="s">
        <v>24</v>
      </c>
      <c r="H400" s="30" t="str">
        <f>IFERROR(VLOOKUP(TRIM(IF(ISNUMBER(FIND(",", B400)),LEFT(B400,FIND(",",B400)-1),B400)),master!A:B,2,FALSE),"Belum ada mapping")
</f>
        <v>Jawa Tengah</v>
      </c>
      <c r="I400" s="30">
        <f>IFERROR(__xludf.DUMMYFUNCTION("IF(REGEXMATCH(F400,""Cari Kerja""),1,0)"),1.0)</f>
        <v>1</v>
      </c>
    </row>
    <row r="401">
      <c r="A401" s="11">
        <v>400.0</v>
      </c>
      <c r="B401" s="30" t="s">
        <v>400</v>
      </c>
      <c r="C401" s="30" t="s">
        <v>20</v>
      </c>
      <c r="D401" s="30" t="s">
        <v>1724</v>
      </c>
      <c r="E401" s="30" t="s">
        <v>51</v>
      </c>
      <c r="F401" s="30" t="s">
        <v>23</v>
      </c>
      <c r="G401" s="30" t="s">
        <v>24</v>
      </c>
      <c r="H401" s="30" t="str">
        <f>IFERROR(VLOOKUP(TRIM(IF(ISNUMBER(FIND(",", B401)),LEFT(B401,FIND(",",B401)-1),B401)),master!A:B,2,FALSE),"Belum ada mapping")
</f>
        <v>Jakarta</v>
      </c>
      <c r="I401" s="30">
        <f>IFERROR(__xludf.DUMMYFUNCTION("IF(REGEXMATCH(F401,""Cari Kerja""),1,0)"),1.0)</f>
        <v>1</v>
      </c>
    </row>
    <row r="402">
      <c r="A402" s="11">
        <v>401.0</v>
      </c>
      <c r="B402" s="30" t="s">
        <v>158</v>
      </c>
      <c r="C402" s="30" t="s">
        <v>49</v>
      </c>
      <c r="D402" s="30" t="s">
        <v>1728</v>
      </c>
      <c r="E402" s="30" t="s">
        <v>1729</v>
      </c>
      <c r="F402" s="30" t="s">
        <v>13</v>
      </c>
      <c r="G402" s="30" t="s">
        <v>38</v>
      </c>
      <c r="H402" s="30" t="str">
        <f>IFERROR(VLOOKUP(TRIM(IF(ISNUMBER(FIND(",", B402)),LEFT(B402,FIND(",",B402)-1),B402)),master!A:B,2,FALSE),"Belum ada mapping")
</f>
        <v>Jawa Barat</v>
      </c>
      <c r="I402" s="30">
        <f>IFERROR(__xludf.DUMMYFUNCTION("IF(REGEXMATCH(F402,""Cari Kerja""),1,0)"),0.0)</f>
        <v>0</v>
      </c>
    </row>
    <row r="403">
      <c r="A403" s="11">
        <v>402.0</v>
      </c>
      <c r="B403" s="30" t="s">
        <v>327</v>
      </c>
      <c r="C403" s="30" t="s">
        <v>20</v>
      </c>
      <c r="D403" s="30" t="s">
        <v>1733</v>
      </c>
      <c r="E403" s="30" t="s">
        <v>51</v>
      </c>
      <c r="F403" s="30" t="s">
        <v>31</v>
      </c>
      <c r="G403" s="30" t="s">
        <v>24</v>
      </c>
      <c r="H403" s="30" t="str">
        <f>IFERROR(VLOOKUP(TRIM(IF(ISNUMBER(FIND(",", B403)),LEFT(B403,FIND(",",B403)-1),B403)),master!A:B,2,FALSE),"Belum ada mapping")
</f>
        <v>Jakarta</v>
      </c>
      <c r="I403" s="30">
        <f>IFERROR(__xludf.DUMMYFUNCTION("IF(REGEXMATCH(F403,""Cari Kerja""),1,0)"),1.0)</f>
        <v>1</v>
      </c>
    </row>
    <row r="404">
      <c r="A404" s="11">
        <v>403.0</v>
      </c>
      <c r="B404" s="30" t="s">
        <v>158</v>
      </c>
      <c r="C404" s="30" t="s">
        <v>20</v>
      </c>
      <c r="D404" s="30" t="s">
        <v>21</v>
      </c>
      <c r="E404" s="30" t="s">
        <v>51</v>
      </c>
      <c r="F404" s="30" t="s">
        <v>23</v>
      </c>
      <c r="G404" s="30" t="s">
        <v>24</v>
      </c>
      <c r="H404" s="30" t="str">
        <f>IFERROR(VLOOKUP(TRIM(IF(ISNUMBER(FIND(",", B404)),LEFT(B404,FIND(",",B404)-1),B404)),master!A:B,2,FALSE),"Belum ada mapping")
</f>
        <v>Jawa Barat</v>
      </c>
      <c r="I404" s="30">
        <f>IFERROR(__xludf.DUMMYFUNCTION("IF(REGEXMATCH(F404,""Cari Kerja""),1,0)"),1.0)</f>
        <v>1</v>
      </c>
    </row>
    <row r="405">
      <c r="A405" s="11">
        <v>404.0</v>
      </c>
      <c r="B405" s="30" t="s">
        <v>1740</v>
      </c>
      <c r="C405" s="30" t="s">
        <v>49</v>
      </c>
      <c r="D405" s="30" t="s">
        <v>1741</v>
      </c>
      <c r="E405" s="30" t="s">
        <v>51</v>
      </c>
      <c r="F405" s="30" t="s">
        <v>15</v>
      </c>
      <c r="G405" s="30" t="s">
        <v>24</v>
      </c>
      <c r="H405" s="30" t="str">
        <f>IFERROR(VLOOKUP(TRIM(IF(ISNUMBER(FIND(",", B405)),LEFT(B405,FIND(",",B405)-1),B405)),master!A:B,2,FALSE),"Belum ada mapping")
</f>
        <v>Jawa Tengah</v>
      </c>
      <c r="I405" s="30">
        <f>IFERROR(__xludf.DUMMYFUNCTION("IF(REGEXMATCH(F405,""Cari Kerja""),1,0)"),0.0)</f>
        <v>0</v>
      </c>
    </row>
    <row r="406">
      <c r="A406" s="11">
        <v>405.0</v>
      </c>
      <c r="B406" s="30" t="s">
        <v>1701</v>
      </c>
      <c r="C406" s="30" t="s">
        <v>20</v>
      </c>
      <c r="D406" s="30" t="s">
        <v>1745</v>
      </c>
      <c r="E406" s="30" t="s">
        <v>187</v>
      </c>
      <c r="F406" s="30" t="s">
        <v>23</v>
      </c>
      <c r="G406" s="30" t="s">
        <v>24</v>
      </c>
      <c r="H406" s="30" t="str">
        <f>IFERROR(VLOOKUP(TRIM(IF(ISNUMBER(FIND(",", B406)),LEFT(B406,FIND(",",B406)-1),B406)),master!A:B,2,FALSE),"Belum ada mapping")
</f>
        <v>Jawa Tengah</v>
      </c>
      <c r="I406" s="30">
        <f>IFERROR(__xludf.DUMMYFUNCTION("IF(REGEXMATCH(F406,""Cari Kerja""),1,0)"),1.0)</f>
        <v>1</v>
      </c>
    </row>
    <row r="407">
      <c r="A407" s="11">
        <v>406.0</v>
      </c>
      <c r="B407" s="30" t="s">
        <v>92</v>
      </c>
      <c r="C407" s="30" t="s">
        <v>49</v>
      </c>
      <c r="D407" s="30" t="s">
        <v>867</v>
      </c>
      <c r="E407" s="30" t="s">
        <v>439</v>
      </c>
      <c r="F407" s="30" t="s">
        <v>59</v>
      </c>
      <c r="G407" s="30" t="s">
        <v>24</v>
      </c>
      <c r="H407" s="30" t="str">
        <f>IFERROR(VLOOKUP(TRIM(IF(ISNUMBER(FIND(",", B407)),LEFT(B407,FIND(",",B407)-1),B407)),master!A:B,2,FALSE),"Belum ada mapping")
</f>
        <v>Jawa Barat</v>
      </c>
      <c r="I407" s="30">
        <f>IFERROR(__xludf.DUMMYFUNCTION("IF(REGEXMATCH(F407,""Cari Kerja""),1,0)"),0.0)</f>
        <v>0</v>
      </c>
    </row>
    <row r="408">
      <c r="A408" s="11">
        <v>407.0</v>
      </c>
      <c r="B408" s="30" t="s">
        <v>364</v>
      </c>
      <c r="C408" s="30" t="s">
        <v>49</v>
      </c>
      <c r="D408" s="30" t="s">
        <v>1752</v>
      </c>
      <c r="E408" s="30" t="s">
        <v>1753</v>
      </c>
      <c r="F408" s="30" t="s">
        <v>31</v>
      </c>
      <c r="G408" s="30" t="s">
        <v>24</v>
      </c>
      <c r="H408" s="30" t="str">
        <f>IFERROR(VLOOKUP(TRIM(IF(ISNUMBER(FIND(",", B408)),LEFT(B408,FIND(",",B408)-1),B408)),master!A:B,2,FALSE),"Belum ada mapping")
</f>
        <v>Jakarta</v>
      </c>
      <c r="I408" s="30">
        <f>IFERROR(__xludf.DUMMYFUNCTION("IF(REGEXMATCH(F408,""Cari Kerja""),1,0)"),1.0)</f>
        <v>1</v>
      </c>
    </row>
    <row r="409">
      <c r="A409" s="11">
        <v>408.0</v>
      </c>
      <c r="B409" s="30" t="s">
        <v>364</v>
      </c>
      <c r="C409" s="30" t="s">
        <v>20</v>
      </c>
      <c r="D409" s="30" t="s">
        <v>21</v>
      </c>
      <c r="E409" s="30" t="s">
        <v>214</v>
      </c>
      <c r="F409" s="30" t="s">
        <v>23</v>
      </c>
      <c r="G409" s="30" t="s">
        <v>24</v>
      </c>
      <c r="H409" s="30" t="str">
        <f>IFERROR(VLOOKUP(TRIM(IF(ISNUMBER(FIND(",", B409)),LEFT(B409,FIND(",",B409)-1),B409)),master!A:B,2,FALSE),"Belum ada mapping")
</f>
        <v>Jakarta</v>
      </c>
      <c r="I409" s="30">
        <f>IFERROR(__xludf.DUMMYFUNCTION("IF(REGEXMATCH(F409,""Cari Kerja""),1,0)"),1.0)</f>
        <v>1</v>
      </c>
    </row>
    <row r="410">
      <c r="A410" s="11">
        <v>409.0</v>
      </c>
      <c r="B410" s="30" t="s">
        <v>1760</v>
      </c>
      <c r="C410" s="30" t="s">
        <v>20</v>
      </c>
      <c r="D410" s="30" t="s">
        <v>240</v>
      </c>
      <c r="E410" s="30" t="s">
        <v>51</v>
      </c>
      <c r="F410" s="30" t="s">
        <v>23</v>
      </c>
      <c r="G410" s="30" t="s">
        <v>76</v>
      </c>
      <c r="H410" s="30" t="str">
        <f>IFERROR(VLOOKUP(TRIM(IF(ISNUMBER(FIND(",", B410)),LEFT(B410,FIND(",",B410)-1),B410)),master!A:B,2,FALSE),"Belum ada mapping")
</f>
        <v>Kalimantan Selatan</v>
      </c>
      <c r="I410" s="30">
        <f>IFERROR(__xludf.DUMMYFUNCTION("IF(REGEXMATCH(F410,""Cari Kerja""),1,0)"),1.0)</f>
        <v>1</v>
      </c>
    </row>
    <row r="411">
      <c r="A411" s="11">
        <v>410.0</v>
      </c>
      <c r="B411" s="30" t="s">
        <v>452</v>
      </c>
      <c r="C411" s="30" t="s">
        <v>20</v>
      </c>
      <c r="D411" s="30" t="s">
        <v>1764</v>
      </c>
      <c r="E411" s="30" t="s">
        <v>51</v>
      </c>
      <c r="F411" s="30" t="s">
        <v>23</v>
      </c>
      <c r="G411" s="30" t="s">
        <v>24</v>
      </c>
      <c r="H411" s="30" t="str">
        <f>IFERROR(VLOOKUP(TRIM(IF(ISNUMBER(FIND(",", B411)),LEFT(B411,FIND(",",B411)-1),B411)),master!A:B,2,FALSE),"Belum ada mapping")
</f>
        <v>Sumatera Selatan</v>
      </c>
      <c r="I411" s="30">
        <f>IFERROR(__xludf.DUMMYFUNCTION("IF(REGEXMATCH(F411,""Cari Kerja""),1,0)"),1.0)</f>
        <v>1</v>
      </c>
    </row>
    <row r="412">
      <c r="A412" s="11">
        <v>411.0</v>
      </c>
      <c r="B412" s="30" t="s">
        <v>1768</v>
      </c>
      <c r="C412" s="30" t="s">
        <v>20</v>
      </c>
      <c r="D412" s="30" t="s">
        <v>1769</v>
      </c>
      <c r="E412" s="30" t="s">
        <v>51</v>
      </c>
      <c r="F412" s="30" t="s">
        <v>23</v>
      </c>
      <c r="G412" s="30" t="s">
        <v>24</v>
      </c>
      <c r="H412" s="30" t="str">
        <f>IFERROR(VLOOKUP(TRIM(IF(ISNUMBER(FIND(",", B412)),LEFT(B412,FIND(",",B412)-1),B412)),master!A:B,2,FALSE),"Belum ada mapping")
</f>
        <v>Sumatera Selatan</v>
      </c>
      <c r="I412" s="30">
        <f>IFERROR(__xludf.DUMMYFUNCTION("IF(REGEXMATCH(F412,""Cari Kerja""),1,0)"),1.0)</f>
        <v>1</v>
      </c>
    </row>
    <row r="413">
      <c r="A413" s="11">
        <v>412.0</v>
      </c>
      <c r="B413" s="30" t="s">
        <v>1768</v>
      </c>
      <c r="C413" s="30" t="s">
        <v>20</v>
      </c>
      <c r="D413" s="30" t="s">
        <v>1769</v>
      </c>
      <c r="E413" s="30" t="s">
        <v>51</v>
      </c>
      <c r="F413" s="30" t="s">
        <v>23</v>
      </c>
      <c r="G413" s="30" t="s">
        <v>24</v>
      </c>
      <c r="H413" s="30" t="str">
        <f>IFERROR(VLOOKUP(TRIM(IF(ISNUMBER(FIND(",", B413)),LEFT(B413,FIND(",",B413)-1),B413)),master!A:B,2,FALSE),"Belum ada mapping")
</f>
        <v>Sumatera Selatan</v>
      </c>
      <c r="I413" s="30">
        <f>IFERROR(__xludf.DUMMYFUNCTION("IF(REGEXMATCH(F413,""Cari Kerja""),1,0)"),1.0)</f>
        <v>1</v>
      </c>
    </row>
    <row r="414">
      <c r="A414" s="11">
        <v>413.0</v>
      </c>
      <c r="B414" s="30" t="s">
        <v>122</v>
      </c>
      <c r="C414" s="30" t="s">
        <v>49</v>
      </c>
      <c r="D414" s="30" t="s">
        <v>1773</v>
      </c>
      <c r="E414" s="30" t="s">
        <v>1774</v>
      </c>
      <c r="F414" s="30" t="s">
        <v>52</v>
      </c>
      <c r="G414" s="30" t="s">
        <v>24</v>
      </c>
      <c r="H414" s="30" t="str">
        <f>IFERROR(VLOOKUP(TRIM(IF(ISNUMBER(FIND(",", B414)),LEFT(B414,FIND(",",B414)-1),B414)),master!A:B,2,FALSE),"Belum ada mapping")
</f>
        <v>Sulawesi Selatan</v>
      </c>
      <c r="I414" s="30">
        <f>IFERROR(__xludf.DUMMYFUNCTION("IF(REGEXMATCH(F414,""Cari Kerja""),1,0)"),0.0)</f>
        <v>0</v>
      </c>
    </row>
    <row r="415">
      <c r="A415" s="11">
        <v>414.0</v>
      </c>
      <c r="B415" s="30" t="s">
        <v>1010</v>
      </c>
      <c r="C415" s="30" t="s">
        <v>20</v>
      </c>
      <c r="D415" s="30" t="s">
        <v>1778</v>
      </c>
      <c r="E415" s="30" t="s">
        <v>82</v>
      </c>
      <c r="F415" s="30" t="s">
        <v>130</v>
      </c>
      <c r="G415" s="30" t="s">
        <v>24</v>
      </c>
      <c r="H415" s="30" t="str">
        <f>IFERROR(VLOOKUP(TRIM(IF(ISNUMBER(FIND(",", B415)),LEFT(B415,FIND(",",B415)-1),B415)),master!A:B,2,FALSE),"Belum ada mapping")
</f>
        <v>Jawa Barat</v>
      </c>
      <c r="I415" s="30">
        <f>IFERROR(__xludf.DUMMYFUNCTION("IF(REGEXMATCH(F415,""Cari Kerja""),1,0)"),1.0)</f>
        <v>1</v>
      </c>
    </row>
    <row r="416">
      <c r="A416" s="11">
        <v>415.0</v>
      </c>
      <c r="B416" s="30" t="s">
        <v>113</v>
      </c>
      <c r="C416" s="30" t="s">
        <v>20</v>
      </c>
      <c r="D416" s="30" t="s">
        <v>21</v>
      </c>
      <c r="E416" s="30" t="s">
        <v>22</v>
      </c>
      <c r="F416" s="30" t="s">
        <v>59</v>
      </c>
      <c r="G416" s="30" t="s">
        <v>24</v>
      </c>
      <c r="H416" s="30" t="str">
        <f>IFERROR(VLOOKUP(TRIM(IF(ISNUMBER(FIND(",", B416)),LEFT(B416,FIND(",",B416)-1),B416)),master!A:B,2,FALSE),"Belum ada mapping")
</f>
        <v>Sumatera Utara</v>
      </c>
      <c r="I416" s="30">
        <f>IFERROR(__xludf.DUMMYFUNCTION("IF(REGEXMATCH(F416,""Cari Kerja""),1,0)"),0.0)</f>
        <v>0</v>
      </c>
    </row>
    <row r="417">
      <c r="A417" s="11">
        <v>416.0</v>
      </c>
      <c r="B417" s="30" t="s">
        <v>92</v>
      </c>
      <c r="C417" s="30" t="s">
        <v>20</v>
      </c>
      <c r="D417" s="30" t="s">
        <v>1785</v>
      </c>
      <c r="E417" s="30" t="s">
        <v>37</v>
      </c>
      <c r="F417" s="30" t="s">
        <v>235</v>
      </c>
      <c r="G417" s="30" t="s">
        <v>24</v>
      </c>
      <c r="H417" s="30" t="str">
        <f>IFERROR(VLOOKUP(TRIM(IF(ISNUMBER(FIND(",", B417)),LEFT(B417,FIND(",",B417)-1),B417)),master!A:B,2,FALSE),"Belum ada mapping")
</f>
        <v>Jawa Barat</v>
      </c>
      <c r="I417" s="30">
        <f>IFERROR(__xludf.DUMMYFUNCTION("IF(REGEXMATCH(F417,""Cari Kerja""),1,0)"),1.0)</f>
        <v>1</v>
      </c>
    </row>
    <row r="418">
      <c r="A418" s="11">
        <v>417.0</v>
      </c>
      <c r="B418" s="30" t="s">
        <v>596</v>
      </c>
      <c r="C418" s="30" t="s">
        <v>20</v>
      </c>
      <c r="D418" s="30" t="s">
        <v>780</v>
      </c>
      <c r="E418" s="30" t="s">
        <v>51</v>
      </c>
      <c r="F418" s="30" t="s">
        <v>59</v>
      </c>
      <c r="G418" s="30" t="s">
        <v>24</v>
      </c>
      <c r="H418" s="30" t="str">
        <f>IFERROR(VLOOKUP(TRIM(IF(ISNUMBER(FIND(",", B418)),LEFT(B418,FIND(",",B418)-1),B418)),master!A:B,2,FALSE),"Belum ada mapping")
</f>
        <v>Jawa Timur</v>
      </c>
      <c r="I418" s="30">
        <f>IFERROR(__xludf.DUMMYFUNCTION("IF(REGEXMATCH(F418,""Cari Kerja""),1,0)"),0.0)</f>
        <v>0</v>
      </c>
    </row>
    <row r="419">
      <c r="A419" s="11">
        <v>418.0</v>
      </c>
      <c r="B419" s="30" t="s">
        <v>1789</v>
      </c>
      <c r="C419" s="30" t="s">
        <v>20</v>
      </c>
      <c r="D419" s="30" t="s">
        <v>780</v>
      </c>
      <c r="E419" s="30" t="s">
        <v>51</v>
      </c>
      <c r="F419" s="30" t="s">
        <v>13</v>
      </c>
      <c r="G419" s="30" t="s">
        <v>24</v>
      </c>
      <c r="H419" s="30" t="str">
        <f>IFERROR(VLOOKUP(TRIM(IF(ISNUMBER(FIND(",", B419)),LEFT(B419,FIND(",",B419)-1),B419)),master!A:B,2,FALSE),"Belum ada mapping")
</f>
        <v>Jawa Timur</v>
      </c>
      <c r="I419" s="30">
        <f>IFERROR(__xludf.DUMMYFUNCTION("IF(REGEXMATCH(F419,""Cari Kerja""),1,0)"),0.0)</f>
        <v>0</v>
      </c>
    </row>
    <row r="420">
      <c r="A420" s="11">
        <v>419.0</v>
      </c>
      <c r="B420" s="30" t="s">
        <v>35</v>
      </c>
      <c r="C420" s="30" t="s">
        <v>20</v>
      </c>
      <c r="D420" s="30" t="s">
        <v>1793</v>
      </c>
      <c r="E420" s="30" t="s">
        <v>1412</v>
      </c>
      <c r="F420" s="30" t="s">
        <v>52</v>
      </c>
      <c r="G420" s="30" t="s">
        <v>24</v>
      </c>
      <c r="H420" s="30" t="str">
        <f>IFERROR(VLOOKUP(TRIM(IF(ISNUMBER(FIND(",", B420)),LEFT(B420,FIND(",",B420)-1),B420)),master!A:B,2,FALSE),"Belum ada mapping")
</f>
        <v>Jawa Timur</v>
      </c>
      <c r="I420" s="30">
        <f>IFERROR(__xludf.DUMMYFUNCTION("IF(REGEXMATCH(F420,""Cari Kerja""),1,0)"),0.0)</f>
        <v>0</v>
      </c>
    </row>
    <row r="421">
      <c r="A421" s="11">
        <v>420.0</v>
      </c>
      <c r="B421" s="30" t="s">
        <v>327</v>
      </c>
      <c r="C421" s="30" t="s">
        <v>49</v>
      </c>
      <c r="D421" s="30" t="s">
        <v>1797</v>
      </c>
      <c r="E421" s="30" t="s">
        <v>370</v>
      </c>
      <c r="F421" s="30" t="s">
        <v>13</v>
      </c>
      <c r="G421" s="30" t="s">
        <v>24</v>
      </c>
      <c r="H421" s="30" t="str">
        <f>IFERROR(VLOOKUP(TRIM(IF(ISNUMBER(FIND(",", B421)),LEFT(B421,FIND(",",B421)-1),B421)),master!A:B,2,FALSE),"Belum ada mapping")
</f>
        <v>Jakarta</v>
      </c>
      <c r="I421" s="30">
        <f>IFERROR(__xludf.DUMMYFUNCTION("IF(REGEXMATCH(F421,""Cari Kerja""),1,0)"),0.0)</f>
        <v>0</v>
      </c>
    </row>
    <row r="422">
      <c r="A422" s="11">
        <v>421.0</v>
      </c>
      <c r="B422" s="30" t="s">
        <v>1617</v>
      </c>
      <c r="C422" s="30" t="s">
        <v>20</v>
      </c>
      <c r="D422" s="30" t="s">
        <v>1801</v>
      </c>
      <c r="E422" s="30" t="s">
        <v>51</v>
      </c>
      <c r="F422" s="30" t="s">
        <v>23</v>
      </c>
      <c r="G422" s="30" t="s">
        <v>24</v>
      </c>
      <c r="H422" s="30" t="str">
        <f>IFERROR(VLOOKUP(TRIM(IF(ISNUMBER(FIND(",", B422)),LEFT(B422,FIND(",",B422)-1),B422)),master!A:B,2,FALSE),"Belum ada mapping")
</f>
        <v>Jakarta</v>
      </c>
      <c r="I422" s="30">
        <f>IFERROR(__xludf.DUMMYFUNCTION("IF(REGEXMATCH(F422,""Cari Kerja""),1,0)"),1.0)</f>
        <v>1</v>
      </c>
    </row>
    <row r="423">
      <c r="A423" s="11">
        <v>422.0</v>
      </c>
      <c r="B423" s="30" t="s">
        <v>158</v>
      </c>
      <c r="C423" s="30" t="s">
        <v>49</v>
      </c>
      <c r="D423" s="30" t="s">
        <v>69</v>
      </c>
      <c r="E423" s="30" t="s">
        <v>51</v>
      </c>
      <c r="F423" s="30" t="s">
        <v>23</v>
      </c>
      <c r="G423" s="30" t="s">
        <v>24</v>
      </c>
      <c r="H423" s="30" t="str">
        <f>IFERROR(VLOOKUP(TRIM(IF(ISNUMBER(FIND(",", B423)),LEFT(B423,FIND(",",B423)-1),B423)),master!A:B,2,FALSE),"Belum ada mapping")
</f>
        <v>Jawa Barat</v>
      </c>
      <c r="I423" s="30">
        <f>IFERROR(__xludf.DUMMYFUNCTION("IF(REGEXMATCH(F423,""Cari Kerja""),1,0)"),1.0)</f>
        <v>1</v>
      </c>
    </row>
    <row r="424">
      <c r="A424" s="11">
        <v>423.0</v>
      </c>
      <c r="B424" s="30" t="s">
        <v>1808</v>
      </c>
      <c r="C424" s="30" t="s">
        <v>49</v>
      </c>
      <c r="D424" s="30" t="s">
        <v>1809</v>
      </c>
      <c r="E424" s="30" t="s">
        <v>391</v>
      </c>
      <c r="F424" s="30" t="s">
        <v>59</v>
      </c>
      <c r="G424" s="30" t="s">
        <v>24</v>
      </c>
      <c r="H424" s="30" t="str">
        <f>IFERROR(VLOOKUP(TRIM(IF(ISNUMBER(FIND(",", B424)),LEFT(B424,FIND(",",B424)-1),B424)),master!A:B,2,FALSE),"Belum ada mapping")
</f>
        <v>Kalimantan Selatan</v>
      </c>
      <c r="I424" s="30">
        <f>IFERROR(__xludf.DUMMYFUNCTION("IF(REGEXMATCH(F424,""Cari Kerja""),1,0)"),0.0)</f>
        <v>0</v>
      </c>
    </row>
    <row r="425">
      <c r="A425" s="11">
        <v>424.0</v>
      </c>
      <c r="B425" s="30" t="s">
        <v>364</v>
      </c>
      <c r="C425" s="30" t="s">
        <v>20</v>
      </c>
      <c r="D425" s="30" t="s">
        <v>1813</v>
      </c>
      <c r="E425" s="30" t="s">
        <v>30</v>
      </c>
      <c r="F425" s="30" t="s">
        <v>235</v>
      </c>
      <c r="G425" s="30" t="s">
        <v>24</v>
      </c>
      <c r="H425" s="30" t="str">
        <f>IFERROR(VLOOKUP(TRIM(IF(ISNUMBER(FIND(",", B425)),LEFT(B425,FIND(",",B425)-1),B425)),master!A:B,2,FALSE),"Belum ada mapping")
</f>
        <v>Jakarta</v>
      </c>
      <c r="I425" s="30">
        <f>IFERROR(__xludf.DUMMYFUNCTION("IF(REGEXMATCH(F425,""Cari Kerja""),1,0)"),1.0)</f>
        <v>1</v>
      </c>
    </row>
    <row r="426">
      <c r="A426" s="11">
        <v>425.0</v>
      </c>
      <c r="B426" s="30" t="s">
        <v>92</v>
      </c>
      <c r="C426" s="30" t="s">
        <v>49</v>
      </c>
      <c r="D426" s="30" t="s">
        <v>1817</v>
      </c>
      <c r="E426" s="30" t="s">
        <v>1818</v>
      </c>
      <c r="F426" s="30" t="s">
        <v>23</v>
      </c>
      <c r="G426" s="30" t="s">
        <v>24</v>
      </c>
      <c r="H426" s="30" t="str">
        <f>IFERROR(VLOOKUP(TRIM(IF(ISNUMBER(FIND(",", B426)),LEFT(B426,FIND(",",B426)-1),B426)),master!A:B,2,FALSE),"Belum ada mapping")
</f>
        <v>Jawa Barat</v>
      </c>
      <c r="I426" s="30">
        <f>IFERROR(__xludf.DUMMYFUNCTION("IF(REGEXMATCH(F426,""Cari Kerja""),1,0)"),1.0)</f>
        <v>1</v>
      </c>
    </row>
    <row r="427">
      <c r="A427" s="11">
        <v>426.0</v>
      </c>
      <c r="B427" s="30" t="s">
        <v>1820</v>
      </c>
      <c r="C427" s="30" t="s">
        <v>49</v>
      </c>
      <c r="D427" s="30" t="s">
        <v>1821</v>
      </c>
      <c r="E427" s="30" t="s">
        <v>51</v>
      </c>
      <c r="F427" s="30" t="s">
        <v>130</v>
      </c>
      <c r="G427" s="30" t="s">
        <v>38</v>
      </c>
      <c r="H427" s="30" t="str">
        <f>IFERROR(VLOOKUP(TRIM(IF(ISNUMBER(FIND(",", B427)),LEFT(B427,FIND(",",B427)-1),B427)),master!A:B,2,FALSE),"Belum ada mapping")
</f>
        <v>Jawa Barat</v>
      </c>
      <c r="I427" s="30">
        <f>IFERROR(__xludf.DUMMYFUNCTION("IF(REGEXMATCH(F427,""Cari Kerja""),1,0)"),1.0)</f>
        <v>1</v>
      </c>
    </row>
    <row r="428">
      <c r="A428" s="11">
        <v>427.0</v>
      </c>
      <c r="B428" s="30" t="s">
        <v>1825</v>
      </c>
      <c r="C428" s="30" t="s">
        <v>20</v>
      </c>
      <c r="D428" s="30" t="s">
        <v>21</v>
      </c>
      <c r="E428" s="30" t="s">
        <v>37</v>
      </c>
      <c r="F428" s="30" t="s">
        <v>31</v>
      </c>
      <c r="G428" s="30" t="s">
        <v>24</v>
      </c>
      <c r="H428" s="30" t="str">
        <f>IFERROR(VLOOKUP(TRIM(IF(ISNUMBER(FIND(",", B428)),LEFT(B428,FIND(",",B428)-1),B428)),master!A:B,2,FALSE),"Belum ada mapping")
</f>
        <v>Banten</v>
      </c>
      <c r="I428" s="30">
        <f>IFERROR(__xludf.DUMMYFUNCTION("IF(REGEXMATCH(F428,""Cari Kerja""),1,0)"),1.0)</f>
        <v>1</v>
      </c>
    </row>
    <row r="429">
      <c r="A429" s="11">
        <v>428.0</v>
      </c>
      <c r="B429" s="30" t="s">
        <v>74</v>
      </c>
      <c r="C429" s="30" t="s">
        <v>20</v>
      </c>
      <c r="D429" s="30" t="s">
        <v>21</v>
      </c>
      <c r="E429" s="30" t="s">
        <v>1680</v>
      </c>
      <c r="F429" s="30" t="s">
        <v>23</v>
      </c>
      <c r="G429" s="30" t="s">
        <v>24</v>
      </c>
      <c r="H429" s="30" t="str">
        <f>IFERROR(VLOOKUP(TRIM(IF(ISNUMBER(FIND(",", B429)),LEFT(B429,FIND(",",B429)-1),B429)),master!A:B,2,FALSE),"Belum ada mapping")
</f>
        <v>Banten</v>
      </c>
      <c r="I429" s="30">
        <f>IFERROR(__xludf.DUMMYFUNCTION("IF(REGEXMATCH(F429,""Cari Kerja""),1,0)"),1.0)</f>
        <v>1</v>
      </c>
    </row>
    <row r="430">
      <c r="A430" s="11">
        <v>429.0</v>
      </c>
      <c r="B430" s="30" t="s">
        <v>1831</v>
      </c>
      <c r="C430" s="30" t="s">
        <v>49</v>
      </c>
      <c r="D430" s="30" t="s">
        <v>1832</v>
      </c>
      <c r="E430" s="30" t="s">
        <v>1833</v>
      </c>
      <c r="F430" s="30" t="s">
        <v>31</v>
      </c>
      <c r="G430" s="30" t="s">
        <v>24</v>
      </c>
      <c r="H430" s="30" t="str">
        <f>IFERROR(VLOOKUP(TRIM(IF(ISNUMBER(FIND(",", B430)),LEFT(B430,FIND(",",B430)-1),B430)),master!A:B,2,FALSE),"Belum ada mapping")
</f>
        <v>Banten</v>
      </c>
      <c r="I430" s="30">
        <f>IFERROR(__xludf.DUMMYFUNCTION("IF(REGEXMATCH(F430,""Cari Kerja""),1,0)"),1.0)</f>
        <v>1</v>
      </c>
    </row>
    <row r="431">
      <c r="A431" s="11">
        <v>430.0</v>
      </c>
      <c r="B431" s="30" t="s">
        <v>1837</v>
      </c>
      <c r="C431" s="30" t="s">
        <v>20</v>
      </c>
      <c r="D431" s="30" t="s">
        <v>69</v>
      </c>
      <c r="E431" s="30" t="s">
        <v>1838</v>
      </c>
      <c r="F431" s="30" t="s">
        <v>23</v>
      </c>
      <c r="G431" s="30" t="s">
        <v>24</v>
      </c>
      <c r="H431" s="30" t="str">
        <f>IFERROR(VLOOKUP(TRIM(IF(ISNUMBER(FIND(",", B431)),LEFT(B431,FIND(",",B431)-1),B431)),master!A:B,2,FALSE),"Belum ada mapping")
</f>
        <v>DI Yogyakarta</v>
      </c>
      <c r="I431" s="30">
        <f>IFERROR(__xludf.DUMMYFUNCTION("IF(REGEXMATCH(F431,""Cari Kerja""),1,0)"),1.0)</f>
        <v>1</v>
      </c>
    </row>
    <row r="432">
      <c r="A432" s="11">
        <v>431.0</v>
      </c>
      <c r="B432" s="30" t="s">
        <v>1842</v>
      </c>
      <c r="C432" s="30" t="s">
        <v>49</v>
      </c>
      <c r="D432" s="30" t="s">
        <v>1773</v>
      </c>
      <c r="E432" s="30" t="s">
        <v>51</v>
      </c>
      <c r="F432" s="30" t="s">
        <v>31</v>
      </c>
      <c r="G432" s="30" t="s">
        <v>24</v>
      </c>
      <c r="H432" s="30" t="str">
        <f>IFERROR(VLOOKUP(TRIM(IF(ISNUMBER(FIND(",", B432)),LEFT(B432,FIND(",",B432)-1),B432)),master!A:B,2,FALSE),"Belum ada mapping")
</f>
        <v>Riau</v>
      </c>
      <c r="I432" s="30">
        <f>IFERROR(__xludf.DUMMYFUNCTION("IF(REGEXMATCH(F432,""Cari Kerja""),1,0)"),1.0)</f>
        <v>1</v>
      </c>
    </row>
    <row r="433">
      <c r="A433" s="11">
        <v>432.0</v>
      </c>
      <c r="B433" s="30" t="s">
        <v>42</v>
      </c>
      <c r="C433" s="30" t="s">
        <v>49</v>
      </c>
      <c r="D433" s="30" t="s">
        <v>1846</v>
      </c>
      <c r="E433" s="30" t="s">
        <v>51</v>
      </c>
      <c r="F433" s="30" t="s">
        <v>12</v>
      </c>
      <c r="G433" s="30" t="s">
        <v>24</v>
      </c>
      <c r="H433" s="30" t="str">
        <f>IFERROR(VLOOKUP(TRIM(IF(ISNUMBER(FIND(",", B433)),LEFT(B433,FIND(",",B433)-1),B433)),master!A:B,2,FALSE),"Belum ada mapping")
</f>
        <v>Jawa Barat</v>
      </c>
      <c r="I433" s="30">
        <f>IFERROR(__xludf.DUMMYFUNCTION("IF(REGEXMATCH(F433,""Cari Kerja""),1,0)"),1.0)</f>
        <v>1</v>
      </c>
    </row>
    <row r="434">
      <c r="A434" s="11">
        <v>433.0</v>
      </c>
      <c r="B434" s="30" t="s">
        <v>42</v>
      </c>
      <c r="C434" s="30" t="s">
        <v>49</v>
      </c>
      <c r="D434" s="30" t="s">
        <v>1850</v>
      </c>
      <c r="E434" s="30" t="s">
        <v>1851</v>
      </c>
      <c r="F434" s="30" t="s">
        <v>31</v>
      </c>
      <c r="G434" s="30" t="s">
        <v>24</v>
      </c>
      <c r="H434" s="30" t="str">
        <f>IFERROR(VLOOKUP(TRIM(IF(ISNUMBER(FIND(",", B434)),LEFT(B434,FIND(",",B434)-1),B434)),master!A:B,2,FALSE),"Belum ada mapping")
</f>
        <v>Jawa Barat</v>
      </c>
      <c r="I434" s="30">
        <f>IFERROR(__xludf.DUMMYFUNCTION("IF(REGEXMATCH(F434,""Cari Kerja""),1,0)"),1.0)</f>
        <v>1</v>
      </c>
    </row>
    <row r="435">
      <c r="A435" s="11">
        <v>434.0</v>
      </c>
      <c r="B435" s="30" t="s">
        <v>364</v>
      </c>
      <c r="C435" s="30" t="s">
        <v>20</v>
      </c>
      <c r="D435" s="30" t="s">
        <v>1855</v>
      </c>
      <c r="E435" s="30" t="s">
        <v>93</v>
      </c>
      <c r="F435" s="30" t="s">
        <v>59</v>
      </c>
      <c r="G435" s="30" t="s">
        <v>24</v>
      </c>
      <c r="H435" s="30" t="str">
        <f>IFERROR(VLOOKUP(TRIM(IF(ISNUMBER(FIND(",", B435)),LEFT(B435,FIND(",",B435)-1),B435)),master!A:B,2,FALSE),"Belum ada mapping")
</f>
        <v>Jakarta</v>
      </c>
      <c r="I435" s="30">
        <f>IFERROR(__xludf.DUMMYFUNCTION("IF(REGEXMATCH(F435,""Cari Kerja""),1,0)"),0.0)</f>
        <v>0</v>
      </c>
    </row>
    <row r="436">
      <c r="A436" s="11">
        <v>435.0</v>
      </c>
      <c r="B436" s="30" t="s">
        <v>484</v>
      </c>
      <c r="C436" s="30" t="s">
        <v>20</v>
      </c>
      <c r="D436" s="30" t="s">
        <v>1859</v>
      </c>
      <c r="E436" s="30" t="s">
        <v>278</v>
      </c>
      <c r="F436" s="30" t="s">
        <v>59</v>
      </c>
      <c r="G436" s="30" t="s">
        <v>24</v>
      </c>
      <c r="H436" s="30" t="str">
        <f>IFERROR(VLOOKUP(TRIM(IF(ISNUMBER(FIND(",", B436)),LEFT(B436,FIND(",",B436)-1),B436)),master!A:B,2,FALSE),"Belum ada mapping")
</f>
        <v>Jawa Tengah</v>
      </c>
      <c r="I436" s="30">
        <f>IFERROR(__xludf.DUMMYFUNCTION("IF(REGEXMATCH(F436,""Cari Kerja""),1,0)"),0.0)</f>
        <v>0</v>
      </c>
    </row>
    <row r="437">
      <c r="A437" s="11">
        <v>436.0</v>
      </c>
      <c r="B437" s="30" t="s">
        <v>575</v>
      </c>
      <c r="C437" s="30" t="s">
        <v>49</v>
      </c>
      <c r="D437" s="30" t="s">
        <v>369</v>
      </c>
      <c r="E437" s="30" t="s">
        <v>1863</v>
      </c>
      <c r="F437" s="30" t="s">
        <v>59</v>
      </c>
      <c r="G437" s="30" t="s">
        <v>24</v>
      </c>
      <c r="H437" s="30" t="str">
        <f>IFERROR(VLOOKUP(TRIM(IF(ISNUMBER(FIND(",", B437)),LEFT(B437,FIND(",",B437)-1),B437)),master!A:B,2,FALSE),"Belum ada mapping")
</f>
        <v>Jawa Tengah</v>
      </c>
      <c r="I437" s="30">
        <f>IFERROR(__xludf.DUMMYFUNCTION("IF(REGEXMATCH(F437,""Cari Kerja""),1,0)"),0.0)</f>
        <v>0</v>
      </c>
    </row>
    <row r="438">
      <c r="A438" s="11">
        <v>437.0</v>
      </c>
      <c r="B438" s="30" t="s">
        <v>74</v>
      </c>
      <c r="C438" s="30" t="s">
        <v>20</v>
      </c>
      <c r="D438" s="30" t="s">
        <v>149</v>
      </c>
      <c r="E438" s="30" t="s">
        <v>1867</v>
      </c>
      <c r="F438" s="30" t="s">
        <v>31</v>
      </c>
      <c r="G438" s="30" t="s">
        <v>24</v>
      </c>
      <c r="H438" s="30" t="str">
        <f>IFERROR(VLOOKUP(TRIM(IF(ISNUMBER(FIND(",", B438)),LEFT(B438,FIND(",",B438)-1),B438)),master!A:B,2,FALSE),"Belum ada mapping")
</f>
        <v>Banten</v>
      </c>
      <c r="I438" s="30">
        <f>IFERROR(__xludf.DUMMYFUNCTION("IF(REGEXMATCH(F438,""Cari Kerja""),1,0)"),1.0)</f>
        <v>1</v>
      </c>
    </row>
    <row r="439">
      <c r="A439" s="11">
        <v>438.0</v>
      </c>
      <c r="B439" s="30" t="s">
        <v>1151</v>
      </c>
      <c r="C439" s="30" t="s">
        <v>20</v>
      </c>
      <c r="D439" s="30" t="s">
        <v>1871</v>
      </c>
      <c r="E439" s="30" t="s">
        <v>51</v>
      </c>
      <c r="F439" s="30" t="s">
        <v>23</v>
      </c>
      <c r="G439" s="30" t="s">
        <v>24</v>
      </c>
      <c r="H439" s="30" t="str">
        <f>IFERROR(VLOOKUP(TRIM(IF(ISNUMBER(FIND(",", B439)),LEFT(B439,FIND(",",B439)-1),B439)),master!A:B,2,FALSE),"Belum ada mapping")
</f>
        <v>Jawa Barat</v>
      </c>
      <c r="I439" s="30">
        <f>IFERROR(__xludf.DUMMYFUNCTION("IF(REGEXMATCH(F439,""Cari Kerja""),1,0)"),1.0)</f>
        <v>1</v>
      </c>
    </row>
    <row r="440">
      <c r="A440" s="11">
        <v>439.0</v>
      </c>
      <c r="B440" s="30" t="s">
        <v>158</v>
      </c>
      <c r="C440" s="30" t="s">
        <v>49</v>
      </c>
      <c r="D440" s="30" t="s">
        <v>1875</v>
      </c>
      <c r="E440" s="30" t="s">
        <v>37</v>
      </c>
      <c r="F440" s="30" t="s">
        <v>23</v>
      </c>
      <c r="G440" s="30" t="s">
        <v>24</v>
      </c>
      <c r="H440" s="30" t="str">
        <f>IFERROR(VLOOKUP(TRIM(IF(ISNUMBER(FIND(",", B440)),LEFT(B440,FIND(",",B440)-1),B440)),master!A:B,2,FALSE),"Belum ada mapping")
</f>
        <v>Jawa Barat</v>
      </c>
      <c r="I440" s="30">
        <f>IFERROR(__xludf.DUMMYFUNCTION("IF(REGEXMATCH(F440,""Cari Kerja""),1,0)"),1.0)</f>
        <v>1</v>
      </c>
    </row>
    <row r="441">
      <c r="A441" s="11">
        <v>440.0</v>
      </c>
      <c r="B441" s="30" t="s">
        <v>86</v>
      </c>
      <c r="C441" s="30" t="s">
        <v>20</v>
      </c>
      <c r="D441" s="30" t="s">
        <v>1879</v>
      </c>
      <c r="E441" s="30" t="s">
        <v>187</v>
      </c>
      <c r="F441" s="30" t="s">
        <v>23</v>
      </c>
      <c r="G441" s="30" t="s">
        <v>24</v>
      </c>
      <c r="H441" s="30" t="str">
        <f>IFERROR(VLOOKUP(TRIM(IF(ISNUMBER(FIND(",", B441)),LEFT(B441,FIND(",",B441)-1),B441)),master!A:B,2,FALSE),"Belum ada mapping")
</f>
        <v>Jawa Tengah</v>
      </c>
      <c r="I441" s="30">
        <f>IFERROR(__xludf.DUMMYFUNCTION("IF(REGEXMATCH(F441,""Cari Kerja""),1,0)"),1.0)</f>
        <v>1</v>
      </c>
    </row>
    <row r="442">
      <c r="A442" s="11">
        <v>441.0</v>
      </c>
      <c r="B442" s="30" t="s">
        <v>207</v>
      </c>
      <c r="C442" s="30" t="s">
        <v>49</v>
      </c>
      <c r="D442" s="30" t="s">
        <v>1883</v>
      </c>
      <c r="E442" s="30" t="s">
        <v>51</v>
      </c>
      <c r="F442" s="30" t="s">
        <v>59</v>
      </c>
      <c r="G442" s="30" t="s">
        <v>24</v>
      </c>
      <c r="H442" s="30" t="str">
        <f>IFERROR(VLOOKUP(TRIM(IF(ISNUMBER(FIND(",", B442)),LEFT(B442,FIND(",",B442)-1),B442)),master!A:B,2,FALSE),"Belum ada mapping")
</f>
        <v>Jakarta</v>
      </c>
      <c r="I442" s="30">
        <f>IFERROR(__xludf.DUMMYFUNCTION("IF(REGEXMATCH(F442,""Cari Kerja""),1,0)"),0.0)</f>
        <v>0</v>
      </c>
    </row>
    <row r="443">
      <c r="A443" s="11">
        <v>442.0</v>
      </c>
      <c r="B443" s="30" t="s">
        <v>207</v>
      </c>
      <c r="C443" s="30" t="s">
        <v>49</v>
      </c>
      <c r="D443" s="30" t="s">
        <v>1887</v>
      </c>
      <c r="E443" s="30" t="s">
        <v>1888</v>
      </c>
      <c r="F443" s="30" t="s">
        <v>23</v>
      </c>
      <c r="G443" s="30" t="s">
        <v>24</v>
      </c>
      <c r="H443" s="30" t="str">
        <f>IFERROR(VLOOKUP(TRIM(IF(ISNUMBER(FIND(",", B443)),LEFT(B443,FIND(",",B443)-1),B443)),master!A:B,2,FALSE),"Belum ada mapping")
</f>
        <v>Jakarta</v>
      </c>
      <c r="I443" s="30">
        <f>IFERROR(__xludf.DUMMYFUNCTION("IF(REGEXMATCH(F443,""Cari Kerja""),1,0)"),1.0)</f>
        <v>1</v>
      </c>
    </row>
    <row r="444">
      <c r="A444" s="11">
        <v>443.0</v>
      </c>
      <c r="B444" s="30" t="s">
        <v>1892</v>
      </c>
      <c r="C444" s="30" t="s">
        <v>20</v>
      </c>
      <c r="D444" s="30" t="s">
        <v>1893</v>
      </c>
      <c r="E444" s="30" t="s">
        <v>51</v>
      </c>
      <c r="F444" s="30" t="s">
        <v>31</v>
      </c>
      <c r="G444" s="30" t="s">
        <v>24</v>
      </c>
      <c r="H444" s="30" t="str">
        <f>IFERROR(VLOOKUP(TRIM(IF(ISNUMBER(FIND(",", B444)),LEFT(B444,FIND(",",B444)-1),B444)),master!A:B,2,FALSE),"Belum ada mapping")
</f>
        <v>Jawa Tengah</v>
      </c>
      <c r="I444" s="30">
        <f>IFERROR(__xludf.DUMMYFUNCTION("IF(REGEXMATCH(F444,""Cari Kerja""),1,0)"),1.0)</f>
        <v>1</v>
      </c>
    </row>
    <row r="445">
      <c r="A445" s="11">
        <v>444.0</v>
      </c>
      <c r="B445" s="30" t="s">
        <v>1808</v>
      </c>
      <c r="C445" s="30" t="s">
        <v>20</v>
      </c>
      <c r="D445" s="30" t="s">
        <v>267</v>
      </c>
      <c r="E445" s="30" t="s">
        <v>905</v>
      </c>
      <c r="F445" s="30" t="s">
        <v>130</v>
      </c>
      <c r="G445" s="30" t="s">
        <v>24</v>
      </c>
      <c r="H445" s="30" t="str">
        <f>IFERROR(VLOOKUP(TRIM(IF(ISNUMBER(FIND(",", B445)),LEFT(B445,FIND(",",B445)-1),B445)),master!A:B,2,FALSE),"Belum ada mapping")
</f>
        <v>Kalimantan Selatan</v>
      </c>
      <c r="I445" s="30">
        <f>IFERROR(__xludf.DUMMYFUNCTION("IF(REGEXMATCH(F445,""Cari Kerja""),1,0)"),1.0)</f>
        <v>1</v>
      </c>
    </row>
    <row r="446">
      <c r="A446" s="11">
        <v>445.0</v>
      </c>
      <c r="B446" s="30" t="s">
        <v>551</v>
      </c>
      <c r="C446" s="30" t="s">
        <v>20</v>
      </c>
      <c r="D446" s="30" t="s">
        <v>1900</v>
      </c>
      <c r="E446" s="30" t="s">
        <v>51</v>
      </c>
      <c r="F446" s="30" t="s">
        <v>31</v>
      </c>
      <c r="G446" s="30" t="s">
        <v>24</v>
      </c>
      <c r="H446" s="30" t="str">
        <f>IFERROR(VLOOKUP(TRIM(IF(ISNUMBER(FIND(",", B446)),LEFT(B446,FIND(",",B446)-1),B446)),master!A:B,2,FALSE),"Belum ada mapping")
</f>
        <v>Jawa Barat</v>
      </c>
      <c r="I446" s="30">
        <f>IFERROR(__xludf.DUMMYFUNCTION("IF(REGEXMATCH(F446,""Cari Kerja""),1,0)"),1.0)</f>
        <v>1</v>
      </c>
    </row>
    <row r="447">
      <c r="A447" s="11">
        <v>446.0</v>
      </c>
      <c r="B447" s="30" t="s">
        <v>414</v>
      </c>
      <c r="C447" s="30" t="s">
        <v>20</v>
      </c>
      <c r="D447" s="30" t="s">
        <v>69</v>
      </c>
      <c r="E447" s="30" t="s">
        <v>51</v>
      </c>
      <c r="F447" s="30" t="s">
        <v>23</v>
      </c>
      <c r="G447" s="30" t="s">
        <v>24</v>
      </c>
      <c r="H447" s="30" t="str">
        <f>IFERROR(VLOOKUP(TRIM(IF(ISNUMBER(FIND(",", B447)),LEFT(B447,FIND(",",B447)-1),B447)),master!A:B,2,FALSE),"Belum ada mapping")
</f>
        <v>DI Yogyakarta</v>
      </c>
      <c r="I447" s="30">
        <f>IFERROR(__xludf.DUMMYFUNCTION("IF(REGEXMATCH(F447,""Cari Kerja""),1,0)"),1.0)</f>
        <v>1</v>
      </c>
    </row>
    <row r="448">
      <c r="A448" s="11">
        <v>447.0</v>
      </c>
      <c r="B448" s="30" t="s">
        <v>1825</v>
      </c>
      <c r="C448" s="30" t="s">
        <v>49</v>
      </c>
      <c r="D448" s="30" t="s">
        <v>1907</v>
      </c>
      <c r="E448" s="30" t="s">
        <v>82</v>
      </c>
      <c r="F448" s="30" t="s">
        <v>23</v>
      </c>
      <c r="G448" s="30" t="s">
        <v>24</v>
      </c>
      <c r="H448" s="30" t="str">
        <f>IFERROR(VLOOKUP(TRIM(IF(ISNUMBER(FIND(",", B448)),LEFT(B448,FIND(",",B448)-1),B448)),master!A:B,2,FALSE),"Belum ada mapping")
</f>
        <v>Banten</v>
      </c>
      <c r="I448" s="30">
        <f>IFERROR(__xludf.DUMMYFUNCTION("IF(REGEXMATCH(F448,""Cari Kerja""),1,0)"),1.0)</f>
        <v>1</v>
      </c>
    </row>
    <row r="449">
      <c r="A449" s="11">
        <v>448.0</v>
      </c>
      <c r="B449" s="30" t="s">
        <v>74</v>
      </c>
      <c r="C449" s="30" t="s">
        <v>20</v>
      </c>
      <c r="D449" s="30" t="s">
        <v>1911</v>
      </c>
      <c r="E449" s="30" t="s">
        <v>1912</v>
      </c>
      <c r="F449" s="30" t="s">
        <v>31</v>
      </c>
      <c r="G449" s="30" t="s">
        <v>24</v>
      </c>
      <c r="H449" s="30" t="str">
        <f>IFERROR(VLOOKUP(TRIM(IF(ISNUMBER(FIND(",", B449)),LEFT(B449,FIND(",",B449)-1),B449)),master!A:B,2,FALSE),"Belum ada mapping")
</f>
        <v>Banten</v>
      </c>
      <c r="I449" s="30">
        <f>IFERROR(__xludf.DUMMYFUNCTION("IF(REGEXMATCH(F449,""Cari Kerja""),1,0)"),1.0)</f>
        <v>1</v>
      </c>
    </row>
    <row r="450">
      <c r="A450" s="11">
        <v>449.0</v>
      </c>
      <c r="B450" s="30" t="s">
        <v>42</v>
      </c>
      <c r="C450" s="30" t="s">
        <v>49</v>
      </c>
      <c r="D450" s="30" t="s">
        <v>1916</v>
      </c>
      <c r="E450" s="30" t="s">
        <v>955</v>
      </c>
      <c r="F450" s="30" t="s">
        <v>15</v>
      </c>
      <c r="G450" s="30" t="s">
        <v>24</v>
      </c>
      <c r="H450" s="30" t="str">
        <f>IFERROR(VLOOKUP(TRIM(IF(ISNUMBER(FIND(",", B450)),LEFT(B450,FIND(",",B450)-1),B450)),master!A:B,2,FALSE),"Belum ada mapping")
</f>
        <v>Jawa Barat</v>
      </c>
      <c r="I450" s="30">
        <f>IFERROR(__xludf.DUMMYFUNCTION("IF(REGEXMATCH(F450,""Cari Kerja""),1,0)"),0.0)</f>
        <v>0</v>
      </c>
    </row>
    <row r="451">
      <c r="A451" s="11">
        <v>450.0</v>
      </c>
      <c r="B451" s="30" t="s">
        <v>551</v>
      </c>
      <c r="C451" s="30" t="s">
        <v>20</v>
      </c>
      <c r="D451" s="30" t="s">
        <v>360</v>
      </c>
      <c r="E451" s="30" t="s">
        <v>51</v>
      </c>
      <c r="F451" s="30" t="s">
        <v>23</v>
      </c>
      <c r="G451" s="30" t="s">
        <v>24</v>
      </c>
      <c r="H451" s="30" t="str">
        <f>IFERROR(VLOOKUP(TRIM(IF(ISNUMBER(FIND(",", B451)),LEFT(B451,FIND(",",B451)-1),B451)),master!A:B,2,FALSE),"Belum ada mapping")
</f>
        <v>Jawa Barat</v>
      </c>
      <c r="I451" s="30">
        <f>IFERROR(__xludf.DUMMYFUNCTION("IF(REGEXMATCH(F451,""Cari Kerja""),1,0)"),1.0)</f>
        <v>1</v>
      </c>
    </row>
    <row r="452">
      <c r="A452" s="11">
        <v>451.0</v>
      </c>
      <c r="B452" s="30" t="s">
        <v>42</v>
      </c>
      <c r="C452" s="30" t="s">
        <v>49</v>
      </c>
      <c r="D452" s="30" t="s">
        <v>369</v>
      </c>
      <c r="E452" s="30" t="s">
        <v>278</v>
      </c>
      <c r="F452" s="30" t="s">
        <v>23</v>
      </c>
      <c r="G452" s="30" t="s">
        <v>24</v>
      </c>
      <c r="H452" s="30" t="str">
        <f>IFERROR(VLOOKUP(TRIM(IF(ISNUMBER(FIND(",", B452)),LEFT(B452,FIND(",",B452)-1),B452)),master!A:B,2,FALSE),"Belum ada mapping")
</f>
        <v>Jawa Barat</v>
      </c>
      <c r="I452" s="30">
        <f>IFERROR(__xludf.DUMMYFUNCTION("IF(REGEXMATCH(F452,""Cari Kerja""),1,0)"),1.0)</f>
        <v>1</v>
      </c>
    </row>
    <row r="453">
      <c r="A453" s="11">
        <v>452.0</v>
      </c>
      <c r="B453" s="30" t="s">
        <v>42</v>
      </c>
      <c r="C453" s="30" t="s">
        <v>20</v>
      </c>
      <c r="D453" s="30" t="s">
        <v>605</v>
      </c>
      <c r="E453" s="30" t="s">
        <v>1926</v>
      </c>
      <c r="F453" s="30" t="s">
        <v>31</v>
      </c>
      <c r="G453" s="30" t="s">
        <v>38</v>
      </c>
      <c r="H453" s="30" t="str">
        <f>IFERROR(VLOOKUP(TRIM(IF(ISNUMBER(FIND(",", B453)),LEFT(B453,FIND(",",B453)-1),B453)),master!A:B,2,FALSE),"Belum ada mapping")
</f>
        <v>Jawa Barat</v>
      </c>
      <c r="I453" s="30">
        <f>IFERROR(__xludf.DUMMYFUNCTION("IF(REGEXMATCH(F453,""Cari Kerja""),1,0)"),1.0)</f>
        <v>1</v>
      </c>
    </row>
    <row r="454">
      <c r="A454" s="11">
        <v>453.0</v>
      </c>
      <c r="B454" s="30" t="s">
        <v>1930</v>
      </c>
      <c r="C454" s="30" t="s">
        <v>20</v>
      </c>
      <c r="D454" s="30" t="s">
        <v>633</v>
      </c>
      <c r="E454" s="30" t="s">
        <v>51</v>
      </c>
      <c r="F454" s="30" t="s">
        <v>23</v>
      </c>
      <c r="G454" s="30" t="s">
        <v>24</v>
      </c>
      <c r="H454" s="30" t="str">
        <f>IFERROR(VLOOKUP(TRIM(IF(ISNUMBER(FIND(",", B454)),LEFT(B454,FIND(",",B454)-1),B454)),master!A:B,2,FALSE),"Belum ada mapping")
</f>
        <v>Belum ada mapping</v>
      </c>
      <c r="I454" s="30">
        <f>IFERROR(__xludf.DUMMYFUNCTION("IF(REGEXMATCH(F454,""Cari Kerja""),1,0)"),1.0)</f>
        <v>1</v>
      </c>
    </row>
    <row r="455">
      <c r="A455" s="11">
        <v>454.0</v>
      </c>
      <c r="B455" s="30" t="s">
        <v>48</v>
      </c>
      <c r="C455" s="30" t="s">
        <v>20</v>
      </c>
      <c r="D455" s="30" t="s">
        <v>1934</v>
      </c>
      <c r="E455" s="30" t="s">
        <v>1935</v>
      </c>
      <c r="F455" s="30" t="s">
        <v>23</v>
      </c>
      <c r="G455" s="30" t="s">
        <v>38</v>
      </c>
      <c r="H455" s="30" t="str">
        <f>IFERROR(VLOOKUP(TRIM(IF(ISNUMBER(FIND(",", B455)),LEFT(B455,FIND(",",B455)-1),B455)),master!A:B,2,FALSE),"Belum ada mapping")
</f>
        <v>DI Yogyakarta</v>
      </c>
      <c r="I455" s="30">
        <f>IFERROR(__xludf.DUMMYFUNCTION("IF(REGEXMATCH(F455,""Cari Kerja""),1,0)"),1.0)</f>
        <v>1</v>
      </c>
    </row>
    <row r="456">
      <c r="A456" s="11">
        <v>455.0</v>
      </c>
      <c r="B456" s="30" t="s">
        <v>1939</v>
      </c>
      <c r="C456" s="30" t="s">
        <v>20</v>
      </c>
      <c r="D456" s="30" t="s">
        <v>656</v>
      </c>
      <c r="E456" s="30" t="s">
        <v>51</v>
      </c>
      <c r="F456" s="30" t="s">
        <v>23</v>
      </c>
      <c r="G456" s="30" t="s">
        <v>24</v>
      </c>
      <c r="H456" s="30" t="str">
        <f>IFERROR(VLOOKUP(TRIM(IF(ISNUMBER(FIND(",", B456)),LEFT(B456,FIND(",",B456)-1),B456)),master!A:B,2,FALSE),"Belum ada mapping")
</f>
        <v>Jawa Tengah</v>
      </c>
      <c r="I456" s="30">
        <f>IFERROR(__xludf.DUMMYFUNCTION("IF(REGEXMATCH(F456,""Cari Kerja""),1,0)"),1.0)</f>
        <v>1</v>
      </c>
    </row>
    <row r="457">
      <c r="A457" s="11">
        <v>456.0</v>
      </c>
      <c r="B457" s="30" t="s">
        <v>1010</v>
      </c>
      <c r="C457" s="30" t="s">
        <v>20</v>
      </c>
      <c r="D457" s="30" t="s">
        <v>1943</v>
      </c>
      <c r="E457" s="30" t="s">
        <v>209</v>
      </c>
      <c r="F457" s="30" t="s">
        <v>23</v>
      </c>
      <c r="G457" s="30" t="s">
        <v>24</v>
      </c>
      <c r="H457" s="30" t="str">
        <f>IFERROR(VLOOKUP(TRIM(IF(ISNUMBER(FIND(",", B457)),LEFT(B457,FIND(",",B457)-1),B457)),master!A:B,2,FALSE),"Belum ada mapping")
</f>
        <v>Jawa Barat</v>
      </c>
      <c r="I457" s="30">
        <f>IFERROR(__xludf.DUMMYFUNCTION("IF(REGEXMATCH(F457,""Cari Kerja""),1,0)"),1.0)</f>
        <v>1</v>
      </c>
    </row>
    <row r="458">
      <c r="A458" s="11">
        <v>457.0</v>
      </c>
      <c r="B458" s="30" t="s">
        <v>1947</v>
      </c>
      <c r="C458" s="30" t="s">
        <v>49</v>
      </c>
      <c r="D458" s="30" t="s">
        <v>1948</v>
      </c>
      <c r="E458" s="30" t="s">
        <v>1949</v>
      </c>
      <c r="F458" s="30" t="s">
        <v>31</v>
      </c>
      <c r="G458" s="30" t="s">
        <v>38</v>
      </c>
      <c r="H458" s="30" t="str">
        <f>IFERROR(VLOOKUP(TRIM(IF(ISNUMBER(FIND(",", B458)),LEFT(B458,FIND(",",B458)-1),B458)),master!A:B,2,FALSE),"Belum ada mapping")
</f>
        <v>Belum ada mapping</v>
      </c>
      <c r="I458" s="30">
        <f>IFERROR(__xludf.DUMMYFUNCTION("IF(REGEXMATCH(F458,""Cari Kerja""),1,0)"),1.0)</f>
        <v>1</v>
      </c>
    </row>
    <row r="459">
      <c r="A459" s="11">
        <v>458.0</v>
      </c>
      <c r="B459" s="30" t="s">
        <v>551</v>
      </c>
      <c r="C459" s="30" t="s">
        <v>20</v>
      </c>
      <c r="D459" s="30" t="s">
        <v>1953</v>
      </c>
      <c r="E459" s="30" t="s">
        <v>51</v>
      </c>
      <c r="F459" s="30" t="s">
        <v>31</v>
      </c>
      <c r="G459" s="30" t="s">
        <v>24</v>
      </c>
      <c r="H459" s="30" t="str">
        <f>IFERROR(VLOOKUP(TRIM(IF(ISNUMBER(FIND(",", B459)),LEFT(B459,FIND(",",B459)-1),B459)),master!A:B,2,FALSE),"Belum ada mapping")
</f>
        <v>Jawa Barat</v>
      </c>
      <c r="I459" s="30">
        <f>IFERROR(__xludf.DUMMYFUNCTION("IF(REGEXMATCH(F459,""Cari Kerja""),1,0)"),1.0)</f>
        <v>1</v>
      </c>
    </row>
    <row r="460">
      <c r="A460" s="11">
        <v>459.0</v>
      </c>
      <c r="B460" s="30" t="s">
        <v>185</v>
      </c>
      <c r="C460" s="30" t="s">
        <v>49</v>
      </c>
      <c r="D460" s="30" t="s">
        <v>1957</v>
      </c>
      <c r="E460" s="30" t="s">
        <v>1958</v>
      </c>
      <c r="F460" s="30" t="s">
        <v>23</v>
      </c>
      <c r="G460" s="30" t="s">
        <v>24</v>
      </c>
      <c r="H460" s="30" t="str">
        <f>IFERROR(VLOOKUP(TRIM(IF(ISNUMBER(FIND(",", B460)),LEFT(B460,FIND(",",B460)-1),B460)),master!A:B,2,FALSE),"Belum ada mapping")
</f>
        <v>Jakarta</v>
      </c>
      <c r="I460" s="30">
        <f>IFERROR(__xludf.DUMMYFUNCTION("IF(REGEXMATCH(F460,""Cari Kerja""),1,0)"),1.0)</f>
        <v>1</v>
      </c>
    </row>
    <row r="461">
      <c r="A461" s="11">
        <v>460.0</v>
      </c>
      <c r="B461" s="30" t="s">
        <v>35</v>
      </c>
      <c r="C461" s="30" t="s">
        <v>20</v>
      </c>
      <c r="D461" s="30" t="s">
        <v>656</v>
      </c>
      <c r="E461" s="30" t="s">
        <v>1962</v>
      </c>
      <c r="F461" s="30" t="s">
        <v>31</v>
      </c>
      <c r="G461" s="30" t="s">
        <v>38</v>
      </c>
      <c r="H461" s="30" t="str">
        <f>IFERROR(VLOOKUP(TRIM(IF(ISNUMBER(FIND(",", B461)),LEFT(B461,FIND(",",B461)-1),B461)),master!A:B,2,FALSE),"Belum ada mapping")
</f>
        <v>Jawa Timur</v>
      </c>
      <c r="I461" s="30">
        <f>IFERROR(__xludf.DUMMYFUNCTION("IF(REGEXMATCH(F461,""Cari Kerja""),1,0)"),1.0)</f>
        <v>1</v>
      </c>
    </row>
    <row r="462">
      <c r="A462" s="11">
        <v>461.0</v>
      </c>
      <c r="B462" s="30" t="s">
        <v>19</v>
      </c>
      <c r="C462" s="30" t="s">
        <v>20</v>
      </c>
      <c r="D462" s="30" t="s">
        <v>369</v>
      </c>
      <c r="E462" s="30" t="s">
        <v>1966</v>
      </c>
      <c r="F462" s="30" t="s">
        <v>23</v>
      </c>
      <c r="G462" s="30" t="s">
        <v>24</v>
      </c>
      <c r="H462" s="30" t="str">
        <f>IFERROR(VLOOKUP(TRIM(IF(ISNUMBER(FIND(",", B462)),LEFT(B462,FIND(",",B462)-1),B462)),master!A:B,2,FALSE),"Belum ada mapping")
</f>
        <v>Jawa Tengah</v>
      </c>
      <c r="I462" s="30">
        <f>IFERROR(__xludf.DUMMYFUNCTION("IF(REGEXMATCH(F462,""Cari Kerja""),1,0)"),1.0)</f>
        <v>1</v>
      </c>
    </row>
    <row r="463">
      <c r="A463" s="11">
        <v>462.0</v>
      </c>
      <c r="B463" s="30" t="s">
        <v>233</v>
      </c>
      <c r="C463" s="30" t="s">
        <v>20</v>
      </c>
      <c r="D463" s="30" t="s">
        <v>21</v>
      </c>
      <c r="E463" s="30" t="s">
        <v>51</v>
      </c>
      <c r="F463" s="30" t="s">
        <v>23</v>
      </c>
      <c r="G463" s="30" t="s">
        <v>24</v>
      </c>
      <c r="H463" s="30" t="str">
        <f>IFERROR(VLOOKUP(TRIM(IF(ISNUMBER(FIND(",", B463)),LEFT(B463,FIND(",",B463)-1),B463)),master!A:B,2,FALSE),"Belum ada mapping")
</f>
        <v>Banten</v>
      </c>
      <c r="I463" s="30">
        <f>IFERROR(__xludf.DUMMYFUNCTION("IF(REGEXMATCH(F463,""Cari Kerja""),1,0)"),1.0)</f>
        <v>1</v>
      </c>
    </row>
    <row r="464">
      <c r="A464" s="11">
        <v>463.0</v>
      </c>
      <c r="B464" s="30" t="s">
        <v>158</v>
      </c>
      <c r="C464" s="30" t="s">
        <v>20</v>
      </c>
      <c r="D464" s="30" t="s">
        <v>1973</v>
      </c>
      <c r="E464" s="30" t="s">
        <v>187</v>
      </c>
      <c r="F464" s="30" t="s">
        <v>59</v>
      </c>
      <c r="G464" s="30" t="s">
        <v>24</v>
      </c>
      <c r="H464" s="30" t="str">
        <f>IFERROR(VLOOKUP(TRIM(IF(ISNUMBER(FIND(",", B464)),LEFT(B464,FIND(",",B464)-1),B464)),master!A:B,2,FALSE),"Belum ada mapping")
</f>
        <v>Jawa Barat</v>
      </c>
      <c r="I464" s="30">
        <f>IFERROR(__xludf.DUMMYFUNCTION("IF(REGEXMATCH(F464,""Cari Kerja""),1,0)"),0.0)</f>
        <v>0</v>
      </c>
    </row>
    <row r="465">
      <c r="A465" s="11">
        <v>464.0</v>
      </c>
      <c r="B465" s="30" t="s">
        <v>35</v>
      </c>
      <c r="C465" s="30" t="s">
        <v>20</v>
      </c>
      <c r="D465" s="30" t="s">
        <v>1977</v>
      </c>
      <c r="E465" s="30" t="s">
        <v>187</v>
      </c>
      <c r="F465" s="30" t="s">
        <v>31</v>
      </c>
      <c r="G465" s="30" t="s">
        <v>24</v>
      </c>
      <c r="H465" s="30" t="str">
        <f>IFERROR(VLOOKUP(TRIM(IF(ISNUMBER(FIND(",", B465)),LEFT(B465,FIND(",",B465)-1),B465)),master!A:B,2,FALSE),"Belum ada mapping")
</f>
        <v>Jawa Timur</v>
      </c>
      <c r="I465" s="30">
        <f>IFERROR(__xludf.DUMMYFUNCTION("IF(REGEXMATCH(F465,""Cari Kerja""),1,0)"),1.0)</f>
        <v>1</v>
      </c>
    </row>
    <row r="466">
      <c r="A466" s="11">
        <v>465.0</v>
      </c>
      <c r="B466" s="30" t="s">
        <v>207</v>
      </c>
      <c r="C466" s="30" t="s">
        <v>20</v>
      </c>
      <c r="D466" s="30" t="s">
        <v>1981</v>
      </c>
      <c r="E466" s="30" t="s">
        <v>82</v>
      </c>
      <c r="F466" s="30" t="s">
        <v>15</v>
      </c>
      <c r="G466" s="30" t="s">
        <v>24</v>
      </c>
      <c r="H466" s="30" t="str">
        <f>IFERROR(VLOOKUP(TRIM(IF(ISNUMBER(FIND(",", B466)),LEFT(B466,FIND(",",B466)-1),B466)),master!A:B,2,FALSE),"Belum ada mapping")
</f>
        <v>Jakarta</v>
      </c>
      <c r="I466" s="30">
        <f>IFERROR(__xludf.DUMMYFUNCTION("IF(REGEXMATCH(F466,""Cari Kerja""),1,0)"),0.0)</f>
        <v>0</v>
      </c>
    </row>
    <row r="467">
      <c r="A467" s="11">
        <v>466.0</v>
      </c>
      <c r="B467" s="30" t="s">
        <v>551</v>
      </c>
      <c r="C467" s="30" t="s">
        <v>20</v>
      </c>
      <c r="D467" s="30" t="s">
        <v>69</v>
      </c>
      <c r="E467" s="30" t="s">
        <v>567</v>
      </c>
      <c r="F467" s="30" t="s">
        <v>130</v>
      </c>
      <c r="G467" s="30" t="s">
        <v>76</v>
      </c>
      <c r="H467" s="30" t="str">
        <f>IFERROR(VLOOKUP(TRIM(IF(ISNUMBER(FIND(",", B467)),LEFT(B467,FIND(",",B467)-1),B467)),master!A:B,2,FALSE),"Belum ada mapping")
</f>
        <v>Jawa Barat</v>
      </c>
      <c r="I467" s="30">
        <f>IFERROR(__xludf.DUMMYFUNCTION("IF(REGEXMATCH(F467,""Cari Kerja""),1,0)"),1.0)</f>
        <v>1</v>
      </c>
    </row>
    <row r="468">
      <c r="A468" s="11">
        <v>467.0</v>
      </c>
      <c r="B468" s="30" t="s">
        <v>381</v>
      </c>
      <c r="C468" s="30" t="s">
        <v>49</v>
      </c>
      <c r="D468" s="30" t="s">
        <v>945</v>
      </c>
      <c r="E468" s="30" t="s">
        <v>1988</v>
      </c>
      <c r="F468" s="30" t="s">
        <v>154</v>
      </c>
      <c r="G468" s="30" t="s">
        <v>24</v>
      </c>
      <c r="H468" s="30" t="str">
        <f>IFERROR(VLOOKUP(TRIM(IF(ISNUMBER(FIND(",", B468)),LEFT(B468,FIND(",",B468)-1),B468)),master!A:B,2,FALSE),"Belum ada mapping")
</f>
        <v>Kalimantan Tengah </v>
      </c>
      <c r="I468" s="30">
        <f>IFERROR(__xludf.DUMMYFUNCTION("IF(REGEXMATCH(F468,""Cari Kerja""),1,0)"),0.0)</f>
        <v>0</v>
      </c>
    </row>
    <row r="469">
      <c r="A469" s="11">
        <v>468.0</v>
      </c>
      <c r="B469" s="30" t="s">
        <v>113</v>
      </c>
      <c r="C469" s="30" t="s">
        <v>20</v>
      </c>
      <c r="D469" s="30" t="s">
        <v>69</v>
      </c>
      <c r="E469" s="30" t="s">
        <v>51</v>
      </c>
      <c r="F469" s="30" t="s">
        <v>31</v>
      </c>
      <c r="G469" s="30" t="s">
        <v>24</v>
      </c>
      <c r="H469" s="30" t="str">
        <f>IFERROR(VLOOKUP(TRIM(IF(ISNUMBER(FIND(",", B469)),LEFT(B469,FIND(",",B469)-1),B469)),master!A:B,2,FALSE),"Belum ada mapping")
</f>
        <v>Sumatera Utara</v>
      </c>
      <c r="I469" s="30">
        <f>IFERROR(__xludf.DUMMYFUNCTION("IF(REGEXMATCH(F469,""Cari Kerja""),1,0)"),1.0)</f>
        <v>1</v>
      </c>
    </row>
    <row r="470">
      <c r="A470" s="11">
        <v>469.0</v>
      </c>
      <c r="B470" s="30" t="s">
        <v>92</v>
      </c>
      <c r="C470" s="30" t="s">
        <v>20</v>
      </c>
      <c r="D470" s="30" t="s">
        <v>1995</v>
      </c>
      <c r="E470" s="30" t="s">
        <v>51</v>
      </c>
      <c r="F470" s="30" t="s">
        <v>23</v>
      </c>
      <c r="G470" s="30" t="s">
        <v>24</v>
      </c>
      <c r="H470" s="30" t="str">
        <f>IFERROR(VLOOKUP(TRIM(IF(ISNUMBER(FIND(",", B470)),LEFT(B470,FIND(",",B470)-1),B470)),master!A:B,2,FALSE),"Belum ada mapping")
</f>
        <v>Jawa Barat</v>
      </c>
      <c r="I470" s="30">
        <f>IFERROR(__xludf.DUMMYFUNCTION("IF(REGEXMATCH(F470,""Cari Kerja""),1,0)"),1.0)</f>
        <v>1</v>
      </c>
    </row>
    <row r="471">
      <c r="A471" s="11">
        <v>470.0</v>
      </c>
      <c r="B471" s="30" t="s">
        <v>1647</v>
      </c>
      <c r="C471" s="30" t="s">
        <v>20</v>
      </c>
      <c r="D471" s="30" t="s">
        <v>1999</v>
      </c>
      <c r="E471" s="30" t="s">
        <v>51</v>
      </c>
      <c r="F471" s="30" t="s">
        <v>31</v>
      </c>
      <c r="G471" s="30" t="s">
        <v>24</v>
      </c>
      <c r="H471" s="30" t="str">
        <f>IFERROR(VLOOKUP(TRIM(IF(ISNUMBER(FIND(",", B471)),LEFT(B471,FIND(",",B471)-1),B471)),master!A:B,2,FALSE),"Belum ada mapping")
</f>
        <v>Jawa Tengah</v>
      </c>
      <c r="I471" s="30">
        <f>IFERROR(__xludf.DUMMYFUNCTION("IF(REGEXMATCH(F471,""Cari Kerja""),1,0)"),1.0)</f>
        <v>1</v>
      </c>
    </row>
    <row r="472">
      <c r="A472" s="11">
        <v>471.0</v>
      </c>
      <c r="B472" s="30" t="s">
        <v>207</v>
      </c>
      <c r="C472" s="30" t="s">
        <v>20</v>
      </c>
      <c r="D472" s="30" t="s">
        <v>2003</v>
      </c>
      <c r="E472" s="30" t="s">
        <v>463</v>
      </c>
      <c r="F472" s="30" t="s">
        <v>31</v>
      </c>
      <c r="G472" s="30" t="s">
        <v>24</v>
      </c>
      <c r="H472" s="30" t="str">
        <f>IFERROR(VLOOKUP(TRIM(IF(ISNUMBER(FIND(",", B472)),LEFT(B472,FIND(",",B472)-1),B472)),master!A:B,2,FALSE),"Belum ada mapping")
</f>
        <v>Jakarta</v>
      </c>
      <c r="I472" s="30">
        <f>IFERROR(__xludf.DUMMYFUNCTION("IF(REGEXMATCH(F472,""Cari Kerja""),1,0)"),1.0)</f>
        <v>1</v>
      </c>
    </row>
    <row r="473">
      <c r="A473" s="11">
        <v>472.0</v>
      </c>
      <c r="B473" s="30" t="s">
        <v>2007</v>
      </c>
      <c r="C473" s="30" t="s">
        <v>20</v>
      </c>
      <c r="D473" s="30" t="s">
        <v>267</v>
      </c>
      <c r="E473" s="30" t="s">
        <v>51</v>
      </c>
      <c r="F473" s="30" t="s">
        <v>23</v>
      </c>
      <c r="G473" s="30" t="s">
        <v>38</v>
      </c>
      <c r="H473" s="30" t="str">
        <f>IFERROR(VLOOKUP(TRIM(IF(ISNUMBER(FIND(",", B473)),LEFT(B473,FIND(",",B473)-1),B473)),master!A:B,2,FALSE),"Belum ada mapping")
</f>
        <v>Jawa Barat</v>
      </c>
      <c r="I473" s="30">
        <f>IFERROR(__xludf.DUMMYFUNCTION("IF(REGEXMATCH(F473,""Cari Kerja""),1,0)"),1.0)</f>
        <v>1</v>
      </c>
    </row>
    <row r="474">
      <c r="A474" s="11">
        <v>473.0</v>
      </c>
      <c r="B474" s="30" t="s">
        <v>207</v>
      </c>
      <c r="C474" s="30" t="s">
        <v>20</v>
      </c>
      <c r="D474" s="30" t="s">
        <v>2011</v>
      </c>
      <c r="E474" s="30" t="s">
        <v>2012</v>
      </c>
      <c r="F474" s="30" t="s">
        <v>23</v>
      </c>
      <c r="G474" s="30" t="s">
        <v>24</v>
      </c>
      <c r="H474" s="30" t="str">
        <f>IFERROR(VLOOKUP(TRIM(IF(ISNUMBER(FIND(",", B474)),LEFT(B474,FIND(",",B474)-1),B474)),master!A:B,2,FALSE),"Belum ada mapping")
</f>
        <v>Jakarta</v>
      </c>
      <c r="I474" s="30">
        <f>IFERROR(__xludf.DUMMYFUNCTION("IF(REGEXMATCH(F474,""Cari Kerja""),1,0)"),1.0)</f>
        <v>1</v>
      </c>
    </row>
    <row r="475">
      <c r="A475" s="11">
        <v>474.0</v>
      </c>
      <c r="B475" s="30" t="s">
        <v>437</v>
      </c>
      <c r="C475" s="30" t="s">
        <v>20</v>
      </c>
      <c r="D475" s="30" t="s">
        <v>2016</v>
      </c>
      <c r="E475" s="30" t="s">
        <v>51</v>
      </c>
      <c r="F475" s="30" t="s">
        <v>31</v>
      </c>
      <c r="G475" s="30" t="s">
        <v>24</v>
      </c>
      <c r="H475" s="30" t="str">
        <f>IFERROR(VLOOKUP(TRIM(IF(ISNUMBER(FIND(",", B475)),LEFT(B475,FIND(",",B475)-1),B475)),master!A:B,2,FALSE),"Belum ada mapping")
</f>
        <v>Jakarta</v>
      </c>
      <c r="I475" s="30">
        <f>IFERROR(__xludf.DUMMYFUNCTION("IF(REGEXMATCH(F475,""Cari Kerja""),1,0)"),1.0)</f>
        <v>1</v>
      </c>
    </row>
    <row r="476">
      <c r="A476" s="11">
        <v>475.0</v>
      </c>
      <c r="B476" s="30" t="s">
        <v>2020</v>
      </c>
      <c r="C476" s="30" t="s">
        <v>49</v>
      </c>
      <c r="D476" s="30" t="s">
        <v>2021</v>
      </c>
      <c r="E476" s="30" t="s">
        <v>209</v>
      </c>
      <c r="F476" s="30" t="s">
        <v>31</v>
      </c>
      <c r="G476" s="30" t="s">
        <v>24</v>
      </c>
      <c r="H476" s="30" t="str">
        <f>IFERROR(VLOOKUP(TRIM(IF(ISNUMBER(FIND(",", B476)),LEFT(B476,FIND(",",B476)-1),B476)),master!A:B,2,FALSE),"Belum ada mapping")
</f>
        <v>Jawa Barat</v>
      </c>
      <c r="I476" s="30">
        <f>IFERROR(__xludf.DUMMYFUNCTION("IF(REGEXMATCH(F476,""Cari Kerja""),1,0)"),1.0)</f>
        <v>1</v>
      </c>
    </row>
    <row r="477">
      <c r="A477" s="11">
        <v>476.0</v>
      </c>
      <c r="B477" s="30" t="s">
        <v>207</v>
      </c>
      <c r="C477" s="30" t="s">
        <v>49</v>
      </c>
      <c r="D477" s="30" t="s">
        <v>2025</v>
      </c>
      <c r="E477" s="30" t="s">
        <v>51</v>
      </c>
      <c r="F477" s="30" t="s">
        <v>23</v>
      </c>
      <c r="G477" s="30" t="s">
        <v>24</v>
      </c>
      <c r="H477" s="30" t="str">
        <f>IFERROR(VLOOKUP(TRIM(IF(ISNUMBER(FIND(",", B477)),LEFT(B477,FIND(",",B477)-1),B477)),master!A:B,2,FALSE),"Belum ada mapping")
</f>
        <v>Jakarta</v>
      </c>
      <c r="I477" s="30">
        <f>IFERROR(__xludf.DUMMYFUNCTION("IF(REGEXMATCH(F477,""Cari Kerja""),1,0)"),1.0)</f>
        <v>1</v>
      </c>
    </row>
    <row r="478">
      <c r="A478" s="11">
        <v>477.0</v>
      </c>
      <c r="B478" s="30" t="s">
        <v>2029</v>
      </c>
      <c r="C478" s="30" t="s">
        <v>20</v>
      </c>
      <c r="D478" s="30" t="s">
        <v>69</v>
      </c>
      <c r="E478" s="30" t="s">
        <v>51</v>
      </c>
      <c r="F478" s="30" t="s">
        <v>23</v>
      </c>
      <c r="G478" s="30" t="s">
        <v>24</v>
      </c>
      <c r="H478" s="30" t="str">
        <f>IFERROR(VLOOKUP(TRIM(IF(ISNUMBER(FIND(",", B478)),LEFT(B478,FIND(",",B478)-1),B478)),master!A:B,2,FALSE),"Belum ada mapping")
</f>
        <v>Jawa Tengah</v>
      </c>
      <c r="I478" s="30">
        <f>IFERROR(__xludf.DUMMYFUNCTION("IF(REGEXMATCH(F478,""Cari Kerja""),1,0)"),1.0)</f>
        <v>1</v>
      </c>
    </row>
    <row r="479">
      <c r="A479" s="11">
        <v>478.0</v>
      </c>
      <c r="B479" s="30" t="s">
        <v>333</v>
      </c>
      <c r="C479" s="30" t="s">
        <v>20</v>
      </c>
      <c r="D479" s="30" t="s">
        <v>267</v>
      </c>
      <c r="E479" s="30" t="s">
        <v>1958</v>
      </c>
      <c r="F479" s="30" t="s">
        <v>13</v>
      </c>
      <c r="G479" s="30" t="s">
        <v>24</v>
      </c>
      <c r="H479" s="30" t="str">
        <f>IFERROR(VLOOKUP(TRIM(IF(ISNUMBER(FIND(",", B479)),LEFT(B479,FIND(",",B479)-1),B479)),master!A:B,2,FALSE),"Belum ada mapping")
</f>
        <v>Jawa Timur</v>
      </c>
      <c r="I479" s="30">
        <f>IFERROR(__xludf.DUMMYFUNCTION("IF(REGEXMATCH(F479,""Cari Kerja""),1,0)"),0.0)</f>
        <v>0</v>
      </c>
    </row>
    <row r="480">
      <c r="A480" s="11">
        <v>479.0</v>
      </c>
      <c r="B480" s="30" t="s">
        <v>207</v>
      </c>
      <c r="C480" s="30" t="s">
        <v>49</v>
      </c>
      <c r="D480" s="30" t="s">
        <v>69</v>
      </c>
      <c r="E480" s="30" t="s">
        <v>209</v>
      </c>
      <c r="F480" s="30" t="s">
        <v>59</v>
      </c>
      <c r="G480" s="30" t="s">
        <v>24</v>
      </c>
      <c r="H480" s="30" t="str">
        <f>IFERROR(VLOOKUP(TRIM(IF(ISNUMBER(FIND(",", B480)),LEFT(B480,FIND(",",B480)-1),B480)),master!A:B,2,FALSE),"Belum ada mapping")
</f>
        <v>Jakarta</v>
      </c>
      <c r="I480" s="30">
        <f>IFERROR(__xludf.DUMMYFUNCTION("IF(REGEXMATCH(F480,""Cari Kerja""),1,0)"),0.0)</f>
        <v>0</v>
      </c>
    </row>
    <row r="481">
      <c r="A481" s="11">
        <v>480.0</v>
      </c>
      <c r="B481" s="30" t="s">
        <v>2039</v>
      </c>
      <c r="C481" s="30" t="s">
        <v>20</v>
      </c>
      <c r="D481" s="30" t="s">
        <v>2040</v>
      </c>
      <c r="E481" s="30" t="s">
        <v>30</v>
      </c>
      <c r="F481" s="30" t="s">
        <v>13</v>
      </c>
      <c r="G481" s="30" t="s">
        <v>38</v>
      </c>
      <c r="H481" s="30" t="str">
        <f>IFERROR(VLOOKUP(TRIM(IF(ISNUMBER(FIND(",", B481)),LEFT(B481,FIND(",",B481)-1),B481)),master!A:B,2,FALSE),"Belum ada mapping")
</f>
        <v>Jawa Timur</v>
      </c>
      <c r="I481" s="30">
        <f>IFERROR(__xludf.DUMMYFUNCTION("IF(REGEXMATCH(F481,""Cari Kerja""),1,0)"),0.0)</f>
        <v>0</v>
      </c>
    </row>
    <row r="482">
      <c r="A482" s="11">
        <v>481.0</v>
      </c>
      <c r="B482" s="30" t="s">
        <v>56</v>
      </c>
      <c r="C482" s="30" t="s">
        <v>20</v>
      </c>
      <c r="D482" s="30" t="s">
        <v>69</v>
      </c>
      <c r="E482" s="30" t="s">
        <v>181</v>
      </c>
      <c r="F482" s="30" t="s">
        <v>52</v>
      </c>
      <c r="G482" s="30" t="s">
        <v>24</v>
      </c>
      <c r="H482" s="30" t="str">
        <f>IFERROR(VLOOKUP(TRIM(IF(ISNUMBER(FIND(",", B482)),LEFT(B482,FIND(",",B482)-1),B482)),master!A:B,2,FALSE),"Belum ada mapping")
</f>
        <v>Banten</v>
      </c>
      <c r="I482" s="30">
        <f>IFERROR(__xludf.DUMMYFUNCTION("IF(REGEXMATCH(F482,""Cari Kerja""),1,0)"),0.0)</f>
        <v>0</v>
      </c>
    </row>
    <row r="483">
      <c r="A483" s="11">
        <v>482.0</v>
      </c>
      <c r="B483" s="30" t="s">
        <v>2047</v>
      </c>
      <c r="C483" s="30" t="s">
        <v>20</v>
      </c>
      <c r="D483" s="30" t="s">
        <v>656</v>
      </c>
      <c r="E483" s="30" t="s">
        <v>198</v>
      </c>
      <c r="F483" s="30" t="s">
        <v>23</v>
      </c>
      <c r="G483" s="30" t="s">
        <v>76</v>
      </c>
      <c r="H483" s="30" t="str">
        <f>IFERROR(VLOOKUP(TRIM(IF(ISNUMBER(FIND(",", B483)),LEFT(B483,FIND(",",B483)-1),B483)),master!A:B,2,FALSE),"Belum ada mapping")
</f>
        <v>Jawa Timur</v>
      </c>
      <c r="I483" s="30">
        <f>IFERROR(__xludf.DUMMYFUNCTION("IF(REGEXMATCH(F483,""Cari Kerja""),1,0)"),1.0)</f>
        <v>1</v>
      </c>
    </row>
    <row r="484">
      <c r="A484" s="11">
        <v>483.0</v>
      </c>
      <c r="B484" s="30" t="s">
        <v>2051</v>
      </c>
      <c r="C484" s="30" t="s">
        <v>20</v>
      </c>
      <c r="D484" s="30" t="s">
        <v>69</v>
      </c>
      <c r="E484" s="30" t="s">
        <v>176</v>
      </c>
      <c r="F484" s="30" t="s">
        <v>13</v>
      </c>
      <c r="G484" s="30" t="s">
        <v>38</v>
      </c>
      <c r="H484" s="30" t="str">
        <f>IFERROR(VLOOKUP(TRIM(IF(ISNUMBER(FIND(",", B484)),LEFT(B484,FIND(",",B484)-1),B484)),master!A:B,2,FALSE),"Belum ada mapping")
</f>
        <v>Jawa Timur</v>
      </c>
      <c r="I484" s="30">
        <f>IFERROR(__xludf.DUMMYFUNCTION("IF(REGEXMATCH(F484,""Cari Kerja""),1,0)"),0.0)</f>
        <v>0</v>
      </c>
    </row>
    <row r="485">
      <c r="A485" s="11">
        <v>484.0</v>
      </c>
      <c r="B485" s="30" t="s">
        <v>1600</v>
      </c>
      <c r="C485" s="30" t="s">
        <v>20</v>
      </c>
      <c r="D485" s="30" t="s">
        <v>69</v>
      </c>
      <c r="E485" s="30" t="s">
        <v>1528</v>
      </c>
      <c r="F485" s="30" t="s">
        <v>130</v>
      </c>
      <c r="G485" s="30" t="s">
        <v>24</v>
      </c>
      <c r="H485" s="30" t="str">
        <f>IFERROR(VLOOKUP(TRIM(IF(ISNUMBER(FIND(",", B485)),LEFT(B485,FIND(",",B485)-1),B485)),master!A:B,2,FALSE),"Belum ada mapping")
</f>
        <v>Kalimantan Selatan</v>
      </c>
      <c r="I485" s="30">
        <f>IFERROR(__xludf.DUMMYFUNCTION("IF(REGEXMATCH(F485,""Cari Kerja""),1,0)"),1.0)</f>
        <v>1</v>
      </c>
    </row>
    <row r="486">
      <c r="A486" s="11">
        <v>485.0</v>
      </c>
      <c r="B486" s="30" t="s">
        <v>1617</v>
      </c>
      <c r="C486" s="30" t="s">
        <v>20</v>
      </c>
      <c r="D486" s="30" t="s">
        <v>2058</v>
      </c>
      <c r="E486" s="30" t="s">
        <v>93</v>
      </c>
      <c r="F486" s="30" t="s">
        <v>23</v>
      </c>
      <c r="G486" s="30" t="s">
        <v>24</v>
      </c>
      <c r="H486" s="30" t="str">
        <f>IFERROR(VLOOKUP(TRIM(IF(ISNUMBER(FIND(",", B486)),LEFT(B486,FIND(",",B486)-1),B486)),master!A:B,2,FALSE),"Belum ada mapping")
</f>
        <v>Jakarta</v>
      </c>
      <c r="I486" s="30">
        <f>IFERROR(__xludf.DUMMYFUNCTION("IF(REGEXMATCH(F486,""Cari Kerja""),1,0)"),1.0)</f>
        <v>1</v>
      </c>
    </row>
    <row r="487">
      <c r="A487" s="11">
        <v>486.0</v>
      </c>
      <c r="B487" s="30" t="s">
        <v>1837</v>
      </c>
      <c r="C487" s="30" t="s">
        <v>20</v>
      </c>
      <c r="D487" s="30" t="s">
        <v>69</v>
      </c>
      <c r="E487" s="30" t="s">
        <v>463</v>
      </c>
      <c r="F487" s="30" t="s">
        <v>59</v>
      </c>
      <c r="G487" s="30" t="s">
        <v>38</v>
      </c>
      <c r="H487" s="30" t="str">
        <f>IFERROR(VLOOKUP(TRIM(IF(ISNUMBER(FIND(",", B487)),LEFT(B487,FIND(",",B487)-1),B487)),master!A:B,2,FALSE),"Belum ada mapping")
</f>
        <v>DI Yogyakarta</v>
      </c>
      <c r="I487" s="30">
        <f>IFERROR(__xludf.DUMMYFUNCTION("IF(REGEXMATCH(F487,""Cari Kerja""),1,0)"),0.0)</f>
        <v>0</v>
      </c>
    </row>
    <row r="488">
      <c r="A488" s="11">
        <v>487.0</v>
      </c>
      <c r="B488" s="30" t="s">
        <v>2065</v>
      </c>
      <c r="C488" s="30" t="s">
        <v>49</v>
      </c>
      <c r="D488" s="30" t="s">
        <v>2066</v>
      </c>
      <c r="E488" s="30" t="s">
        <v>1006</v>
      </c>
      <c r="F488" s="30" t="s">
        <v>52</v>
      </c>
      <c r="G488" s="30" t="s">
        <v>24</v>
      </c>
      <c r="H488" s="30" t="str">
        <f>IFERROR(VLOOKUP(TRIM(IF(ISNUMBER(FIND(",", B488)),LEFT(B488,FIND(",",B488)-1),B488)),master!A:B,2,FALSE),"Belum ada mapping")
</f>
        <v>Jawa Tengah</v>
      </c>
      <c r="I488" s="30">
        <f>IFERROR(__xludf.DUMMYFUNCTION("IF(REGEXMATCH(F488,""Cari Kerja""),1,0)"),0.0)</f>
        <v>0</v>
      </c>
    </row>
    <row r="489">
      <c r="A489" s="11">
        <v>488.0</v>
      </c>
      <c r="B489" s="30" t="s">
        <v>529</v>
      </c>
      <c r="C489" s="30" t="s">
        <v>49</v>
      </c>
      <c r="D489" s="30" t="s">
        <v>2070</v>
      </c>
      <c r="E489" s="30" t="s">
        <v>30</v>
      </c>
      <c r="F489" s="30" t="s">
        <v>109</v>
      </c>
      <c r="G489" s="30" t="s">
        <v>76</v>
      </c>
      <c r="H489" s="30" t="str">
        <f>IFERROR(VLOOKUP(TRIM(IF(ISNUMBER(FIND(",", B489)),LEFT(B489,FIND(",",B489)-1),B489)),master!A:B,2,FALSE),"Belum ada mapping")
</f>
        <v>Jawa Timur</v>
      </c>
      <c r="I489" s="30">
        <f>IFERROR(__xludf.DUMMYFUNCTION("IF(REGEXMATCH(F489,""Cari Kerja""),1,0)"),1.0)</f>
        <v>1</v>
      </c>
    </row>
    <row r="490">
      <c r="A490" s="11">
        <v>489.0</v>
      </c>
      <c r="B490" s="30" t="s">
        <v>575</v>
      </c>
      <c r="C490" s="30" t="s">
        <v>49</v>
      </c>
      <c r="D490" s="30" t="s">
        <v>1671</v>
      </c>
      <c r="E490" s="30" t="s">
        <v>58</v>
      </c>
      <c r="F490" s="30" t="s">
        <v>13</v>
      </c>
      <c r="G490" s="30" t="s">
        <v>76</v>
      </c>
      <c r="H490" s="30" t="str">
        <f>IFERROR(VLOOKUP(TRIM(IF(ISNUMBER(FIND(",", B490)),LEFT(B490,FIND(",",B490)-1),B490)),master!A:B,2,FALSE),"Belum ada mapping")
</f>
        <v>Jawa Tengah</v>
      </c>
      <c r="I490" s="30">
        <f>IFERROR(__xludf.DUMMYFUNCTION("IF(REGEXMATCH(F490,""Cari Kerja""),1,0)"),0.0)</f>
        <v>0</v>
      </c>
    </row>
    <row r="491">
      <c r="A491" s="11">
        <v>490.0</v>
      </c>
      <c r="B491" s="30" t="s">
        <v>2077</v>
      </c>
      <c r="C491" s="30" t="s">
        <v>49</v>
      </c>
      <c r="D491" s="30" t="s">
        <v>229</v>
      </c>
      <c r="E491" s="30" t="s">
        <v>51</v>
      </c>
      <c r="F491" s="30" t="s">
        <v>31</v>
      </c>
      <c r="G491" s="30" t="s">
        <v>76</v>
      </c>
      <c r="H491" s="30" t="str">
        <f>IFERROR(VLOOKUP(TRIM(IF(ISNUMBER(FIND(",", B491)),LEFT(B491,FIND(",",B491)-1),B491)),master!A:B,2,FALSE),"Belum ada mapping")
</f>
        <v>Banten</v>
      </c>
      <c r="I491" s="30">
        <f>IFERROR(__xludf.DUMMYFUNCTION("IF(REGEXMATCH(F491,""Cari Kerja""),1,0)"),1.0)</f>
        <v>1</v>
      </c>
    </row>
    <row r="492">
      <c r="A492" s="11">
        <v>491.0</v>
      </c>
      <c r="B492" s="30" t="s">
        <v>174</v>
      </c>
      <c r="C492" s="30" t="s">
        <v>49</v>
      </c>
      <c r="D492" s="30" t="s">
        <v>2081</v>
      </c>
      <c r="E492" s="30" t="s">
        <v>51</v>
      </c>
      <c r="F492" s="30" t="s">
        <v>31</v>
      </c>
      <c r="G492" s="30" t="s">
        <v>24</v>
      </c>
      <c r="H492" s="30" t="str">
        <f>IFERROR(VLOOKUP(TRIM(IF(ISNUMBER(FIND(",", B492)),LEFT(B492,FIND(",",B492)-1),B492)),master!A:B,2,FALSE),"Belum ada mapping")
</f>
        <v>Jawa Timur</v>
      </c>
      <c r="I492" s="30">
        <f>IFERROR(__xludf.DUMMYFUNCTION("IF(REGEXMATCH(F492,""Cari Kerja""),1,0)"),1.0)</f>
        <v>1</v>
      </c>
    </row>
    <row r="493">
      <c r="A493" s="11">
        <v>492.0</v>
      </c>
      <c r="B493" s="30" t="s">
        <v>2085</v>
      </c>
      <c r="C493" s="30" t="s">
        <v>20</v>
      </c>
      <c r="D493" s="30" t="s">
        <v>2086</v>
      </c>
      <c r="E493" s="30" t="s">
        <v>905</v>
      </c>
      <c r="F493" s="30" t="s">
        <v>130</v>
      </c>
      <c r="G493" s="30" t="s">
        <v>24</v>
      </c>
      <c r="H493" s="30" t="str">
        <f>IFERROR(VLOOKUP(TRIM(IF(ISNUMBER(FIND(",", B493)),LEFT(B493,FIND(",",B493)-1),B493)),master!A:B,2,FALSE),"Belum ada mapping")
</f>
        <v>Jakarta</v>
      </c>
      <c r="I493" s="30">
        <f>IFERROR(__xludf.DUMMYFUNCTION("IF(REGEXMATCH(F493,""Cari Kerja""),1,0)"),1.0)</f>
        <v>1</v>
      </c>
    </row>
    <row r="494">
      <c r="A494" s="11">
        <v>493.0</v>
      </c>
      <c r="B494" s="30" t="s">
        <v>158</v>
      </c>
      <c r="C494" s="30" t="s">
        <v>49</v>
      </c>
      <c r="D494" s="30" t="s">
        <v>2090</v>
      </c>
      <c r="E494" s="30" t="s">
        <v>439</v>
      </c>
      <c r="F494" s="30" t="s">
        <v>15</v>
      </c>
      <c r="G494" s="30" t="s">
        <v>24</v>
      </c>
      <c r="H494" s="30" t="str">
        <f>IFERROR(VLOOKUP(TRIM(IF(ISNUMBER(FIND(",", B494)),LEFT(B494,FIND(",",B494)-1),B494)),master!A:B,2,FALSE),"Belum ada mapping")
</f>
        <v>Jawa Barat</v>
      </c>
      <c r="I494" s="30">
        <f>IFERROR(__xludf.DUMMYFUNCTION("IF(REGEXMATCH(F494,""Cari Kerja""),1,0)"),0.0)</f>
        <v>0</v>
      </c>
    </row>
    <row r="495">
      <c r="A495" s="11">
        <v>494.0</v>
      </c>
      <c r="B495" s="30" t="s">
        <v>461</v>
      </c>
      <c r="C495" s="30" t="s">
        <v>49</v>
      </c>
      <c r="D495" s="30" t="s">
        <v>2094</v>
      </c>
      <c r="E495" s="30" t="s">
        <v>582</v>
      </c>
      <c r="F495" s="30" t="s">
        <v>59</v>
      </c>
      <c r="G495" s="30" t="s">
        <v>24</v>
      </c>
      <c r="H495" s="30" t="str">
        <f>IFERROR(VLOOKUP(TRIM(IF(ISNUMBER(FIND(",", B495)),LEFT(B495,FIND(",",B495)-1),B495)),master!A:B,2,FALSE),"Belum ada mapping")
</f>
        <v>Jakarta</v>
      </c>
      <c r="I495" s="30">
        <f>IFERROR(__xludf.DUMMYFUNCTION("IF(REGEXMATCH(F495,""Cari Kerja""),1,0)"),0.0)</f>
        <v>0</v>
      </c>
    </row>
    <row r="496">
      <c r="A496" s="11">
        <v>495.0</v>
      </c>
      <c r="B496" s="30" t="s">
        <v>2095</v>
      </c>
      <c r="C496" s="30" t="s">
        <v>49</v>
      </c>
      <c r="D496" s="30" t="s">
        <v>2094</v>
      </c>
      <c r="E496" s="30" t="s">
        <v>439</v>
      </c>
      <c r="F496" s="30" t="s">
        <v>59</v>
      </c>
      <c r="G496" s="30" t="s">
        <v>24</v>
      </c>
      <c r="H496" s="30" t="str">
        <f>IFERROR(VLOOKUP(TRIM(IF(ISNUMBER(FIND(",", B496)),LEFT(B496,FIND(",",B496)-1),B496)),master!A:B,2,FALSE),"Belum ada mapping")
</f>
        <v>Jakarta</v>
      </c>
      <c r="I496" s="30">
        <f>IFERROR(__xludf.DUMMYFUNCTION("IF(REGEXMATCH(F496,""Cari Kerja""),1,0)"),0.0)</f>
        <v>0</v>
      </c>
    </row>
    <row r="497">
      <c r="A497" s="11">
        <v>496.0</v>
      </c>
      <c r="B497" s="30" t="s">
        <v>113</v>
      </c>
      <c r="C497" s="30" t="s">
        <v>20</v>
      </c>
      <c r="D497" s="30" t="s">
        <v>21</v>
      </c>
      <c r="E497" s="30" t="s">
        <v>51</v>
      </c>
      <c r="F497" s="30" t="s">
        <v>23</v>
      </c>
      <c r="G497" s="30" t="s">
        <v>24</v>
      </c>
      <c r="H497" s="30" t="str">
        <f>IFERROR(VLOOKUP(TRIM(IF(ISNUMBER(FIND(",", B497)),LEFT(B497,FIND(",",B497)-1),B497)),master!A:B,2,FALSE),"Belum ada mapping")
</f>
        <v>Sumatera Utara</v>
      </c>
      <c r="I497" s="30">
        <f>IFERROR(__xludf.DUMMYFUNCTION("IF(REGEXMATCH(F497,""Cari Kerja""),1,0)"),1.0)</f>
        <v>1</v>
      </c>
    </row>
    <row r="498">
      <c r="A498" s="11">
        <v>497.0</v>
      </c>
      <c r="B498" s="30" t="s">
        <v>92</v>
      </c>
      <c r="C498" s="30" t="s">
        <v>20</v>
      </c>
      <c r="D498" s="30" t="s">
        <v>2102</v>
      </c>
      <c r="E498" s="30" t="s">
        <v>51</v>
      </c>
      <c r="F498" s="30" t="s">
        <v>23</v>
      </c>
      <c r="G498" s="30" t="s">
        <v>24</v>
      </c>
      <c r="H498" s="30" t="str">
        <f>IFERROR(VLOOKUP(TRIM(IF(ISNUMBER(FIND(",", B498)),LEFT(B498,FIND(",",B498)-1),B498)),master!A:B,2,FALSE),"Belum ada mapping")
</f>
        <v>Jawa Barat</v>
      </c>
      <c r="I498" s="30">
        <f>IFERROR(__xludf.DUMMYFUNCTION("IF(REGEXMATCH(F498,""Cari Kerja""),1,0)"),1.0)</f>
        <v>1</v>
      </c>
    </row>
    <row r="499">
      <c r="A499" s="11">
        <v>498.0</v>
      </c>
      <c r="B499" s="30" t="s">
        <v>122</v>
      </c>
      <c r="C499" s="30" t="s">
        <v>49</v>
      </c>
      <c r="D499" s="30" t="s">
        <v>2106</v>
      </c>
      <c r="E499" s="30" t="s">
        <v>2107</v>
      </c>
      <c r="F499" s="30" t="s">
        <v>59</v>
      </c>
      <c r="G499" s="30" t="s">
        <v>24</v>
      </c>
      <c r="H499" s="30" t="str">
        <f>IFERROR(VLOOKUP(TRIM(IF(ISNUMBER(FIND(",", B499)),LEFT(B499,FIND(",",B499)-1),B499)),master!A:B,2,FALSE),"Belum ada mapping")
</f>
        <v>Sulawesi Selatan</v>
      </c>
      <c r="I499" s="30">
        <f>IFERROR(__xludf.DUMMYFUNCTION("IF(REGEXMATCH(F499,""Cari Kerja""),1,0)"),0.0)</f>
        <v>0</v>
      </c>
    </row>
    <row r="500">
      <c r="A500" s="11">
        <v>499.0</v>
      </c>
      <c r="B500" s="30" t="s">
        <v>158</v>
      </c>
      <c r="C500" s="30" t="s">
        <v>49</v>
      </c>
      <c r="D500" s="30" t="s">
        <v>2111</v>
      </c>
      <c r="E500" s="30" t="s">
        <v>51</v>
      </c>
      <c r="F500" s="30" t="s">
        <v>31</v>
      </c>
      <c r="G500" s="30" t="s">
        <v>24</v>
      </c>
      <c r="H500" s="30" t="str">
        <f>IFERROR(VLOOKUP(TRIM(IF(ISNUMBER(FIND(",", B500)),LEFT(B500,FIND(",",B500)-1),B500)),master!A:B,2,FALSE),"Belum ada mapping")
</f>
        <v>Jawa Barat</v>
      </c>
      <c r="I500" s="30">
        <f>IFERROR(__xludf.DUMMYFUNCTION("IF(REGEXMATCH(F500,""Cari Kerja""),1,0)"),1.0)</f>
        <v>1</v>
      </c>
    </row>
    <row r="501">
      <c r="A501" s="11">
        <v>500.0</v>
      </c>
      <c r="B501" s="30" t="s">
        <v>2114</v>
      </c>
      <c r="C501" s="30" t="s">
        <v>49</v>
      </c>
      <c r="D501" s="30" t="s">
        <v>2111</v>
      </c>
      <c r="E501" s="30" t="s">
        <v>170</v>
      </c>
      <c r="F501" s="30" t="s">
        <v>52</v>
      </c>
      <c r="G501" s="30" t="s">
        <v>24</v>
      </c>
      <c r="H501" s="30" t="str">
        <f>IFERROR(VLOOKUP(TRIM(IF(ISNUMBER(FIND(",", B501)),LEFT(B501,FIND(",",B501)-1),B501)),master!A:B,2,FALSE),"Belum ada mapping")
</f>
        <v>Jawa Barat</v>
      </c>
      <c r="I501" s="30">
        <f>IFERROR(__xludf.DUMMYFUNCTION("IF(REGEXMATCH(F501,""Cari Kerja""),1,0)"),0.0)</f>
        <v>0</v>
      </c>
    </row>
    <row r="502">
      <c r="A502" s="11">
        <v>501.0</v>
      </c>
      <c r="B502" s="30" t="s">
        <v>1132</v>
      </c>
      <c r="C502" s="30" t="s">
        <v>20</v>
      </c>
      <c r="D502" s="30" t="s">
        <v>69</v>
      </c>
      <c r="E502" s="30" t="s">
        <v>709</v>
      </c>
      <c r="F502" s="30" t="s">
        <v>31</v>
      </c>
      <c r="G502" s="30" t="s">
        <v>24</v>
      </c>
      <c r="H502" s="30" t="str">
        <f>IFERROR(VLOOKUP(TRIM(IF(ISNUMBER(FIND(",", B502)),LEFT(B502,FIND(",",B502)-1),B502)),master!A:B,2,FALSE),"Belum ada mapping")
</f>
        <v>Jawa Timur</v>
      </c>
      <c r="I502" s="30">
        <f>IFERROR(__xludf.DUMMYFUNCTION("IF(REGEXMATCH(F502,""Cari Kerja""),1,0)"),1.0)</f>
        <v>1</v>
      </c>
    </row>
    <row r="503">
      <c r="A503" s="11">
        <v>502.0</v>
      </c>
      <c r="B503" s="30" t="s">
        <v>575</v>
      </c>
      <c r="C503" s="30" t="s">
        <v>20</v>
      </c>
      <c r="D503" s="30" t="s">
        <v>2121</v>
      </c>
      <c r="E503" s="30" t="s">
        <v>51</v>
      </c>
      <c r="F503" s="30" t="s">
        <v>59</v>
      </c>
      <c r="G503" s="30" t="s">
        <v>24</v>
      </c>
      <c r="H503" s="30" t="str">
        <f>IFERROR(VLOOKUP(TRIM(IF(ISNUMBER(FIND(",", B503)),LEFT(B503,FIND(",",B503)-1),B503)),master!A:B,2,FALSE),"Belum ada mapping")
</f>
        <v>Jawa Tengah</v>
      </c>
      <c r="I503" s="30">
        <f>IFERROR(__xludf.DUMMYFUNCTION("IF(REGEXMATCH(F503,""Cari Kerja""),1,0)"),0.0)</f>
        <v>0</v>
      </c>
    </row>
    <row r="504">
      <c r="A504" s="11">
        <v>503.0</v>
      </c>
      <c r="B504" s="30" t="s">
        <v>74</v>
      </c>
      <c r="C504" s="30" t="s">
        <v>20</v>
      </c>
      <c r="D504" s="30" t="s">
        <v>2125</v>
      </c>
      <c r="E504" s="30" t="s">
        <v>340</v>
      </c>
      <c r="F504" s="30" t="s">
        <v>968</v>
      </c>
      <c r="G504" s="30" t="s">
        <v>24</v>
      </c>
      <c r="H504" s="30" t="str">
        <f>IFERROR(VLOOKUP(TRIM(IF(ISNUMBER(FIND(",", B504)),LEFT(B504,FIND(",",B504)-1),B504)),master!A:B,2,FALSE),"Belum ada mapping")
</f>
        <v>Banten</v>
      </c>
      <c r="I504" s="30">
        <f>IFERROR(__xludf.DUMMYFUNCTION("IF(REGEXMATCH(F504,""Cari Kerja""),1,0)"),1.0)</f>
        <v>1</v>
      </c>
    </row>
    <row r="505">
      <c r="A505" s="11">
        <v>504.0</v>
      </c>
      <c r="B505" s="30" t="s">
        <v>35</v>
      </c>
      <c r="C505" s="30" t="s">
        <v>49</v>
      </c>
      <c r="D505" s="30" t="s">
        <v>2129</v>
      </c>
      <c r="E505" s="30" t="s">
        <v>51</v>
      </c>
      <c r="F505" s="30" t="s">
        <v>15</v>
      </c>
      <c r="G505" s="30" t="s">
        <v>24</v>
      </c>
      <c r="H505" s="30" t="str">
        <f>IFERROR(VLOOKUP(TRIM(IF(ISNUMBER(FIND(",", B505)),LEFT(B505,FIND(",",B505)-1),B505)),master!A:B,2,FALSE),"Belum ada mapping")
</f>
        <v>Jawa Timur</v>
      </c>
      <c r="I505" s="30">
        <f>IFERROR(__xludf.DUMMYFUNCTION("IF(REGEXMATCH(F505,""Cari Kerja""),1,0)"),0.0)</f>
        <v>0</v>
      </c>
    </row>
    <row r="506">
      <c r="A506" s="11">
        <v>505.0</v>
      </c>
      <c r="B506" s="30" t="s">
        <v>551</v>
      </c>
      <c r="C506" s="30" t="s">
        <v>49</v>
      </c>
      <c r="D506" s="30" t="s">
        <v>2133</v>
      </c>
      <c r="E506" s="30" t="s">
        <v>37</v>
      </c>
      <c r="F506" s="30" t="s">
        <v>23</v>
      </c>
      <c r="G506" s="30" t="s">
        <v>24</v>
      </c>
      <c r="H506" s="30" t="str">
        <f>IFERROR(VLOOKUP(TRIM(IF(ISNUMBER(FIND(",", B506)),LEFT(B506,FIND(",",B506)-1),B506)),master!A:B,2,FALSE),"Belum ada mapping")
</f>
        <v>Jawa Barat</v>
      </c>
      <c r="I506" s="30">
        <f>IFERROR(__xludf.DUMMYFUNCTION("IF(REGEXMATCH(F506,""Cari Kerja""),1,0)"),1.0)</f>
        <v>1</v>
      </c>
    </row>
    <row r="507">
      <c r="A507" s="11">
        <v>506.0</v>
      </c>
      <c r="B507" s="30" t="s">
        <v>2137</v>
      </c>
      <c r="C507" s="30" t="s">
        <v>20</v>
      </c>
      <c r="D507" s="30" t="s">
        <v>2138</v>
      </c>
      <c r="E507" s="30" t="s">
        <v>51</v>
      </c>
      <c r="F507" s="30" t="s">
        <v>23</v>
      </c>
      <c r="G507" s="30" t="s">
        <v>24</v>
      </c>
      <c r="H507" s="30" t="str">
        <f>IFERROR(VLOOKUP(TRIM(IF(ISNUMBER(FIND(",", B507)),LEFT(B507,FIND(",",B507)-1),B507)),master!A:B,2,FALSE),"Belum ada mapping")
</f>
        <v>Sulawesi Selatan</v>
      </c>
      <c r="I507" s="30">
        <f>IFERROR(__xludf.DUMMYFUNCTION("IF(REGEXMATCH(F507,""Cari Kerja""),1,0)"),1.0)</f>
        <v>1</v>
      </c>
    </row>
    <row r="508">
      <c r="A508" s="11">
        <v>507.0</v>
      </c>
      <c r="B508" s="30" t="s">
        <v>113</v>
      </c>
      <c r="C508" s="30" t="s">
        <v>20</v>
      </c>
      <c r="D508" s="30" t="s">
        <v>2142</v>
      </c>
      <c r="E508" s="30" t="s">
        <v>93</v>
      </c>
      <c r="F508" s="30" t="s">
        <v>23</v>
      </c>
      <c r="G508" s="30" t="s">
        <v>24</v>
      </c>
      <c r="H508" s="30" t="str">
        <f>IFERROR(VLOOKUP(TRIM(IF(ISNUMBER(FIND(",", B508)),LEFT(B508,FIND(",",B508)-1),B508)),master!A:B,2,FALSE),"Belum ada mapping")
</f>
        <v>Sumatera Utara</v>
      </c>
      <c r="I508" s="30">
        <f>IFERROR(__xludf.DUMMYFUNCTION("IF(REGEXMATCH(F508,""Cari Kerja""),1,0)"),1.0)</f>
        <v>1</v>
      </c>
    </row>
    <row r="509">
      <c r="A509" s="11">
        <v>508.0</v>
      </c>
      <c r="B509" s="30" t="s">
        <v>151</v>
      </c>
      <c r="C509" s="30" t="s">
        <v>20</v>
      </c>
      <c r="D509" s="30" t="s">
        <v>2146</v>
      </c>
      <c r="E509" s="30" t="s">
        <v>2147</v>
      </c>
      <c r="F509" s="30" t="s">
        <v>31</v>
      </c>
      <c r="G509" s="30" t="s">
        <v>24</v>
      </c>
      <c r="H509" s="30" t="str">
        <f>IFERROR(VLOOKUP(TRIM(IF(ISNUMBER(FIND(",", B509)),LEFT(B509,FIND(",",B509)-1),B509)),master!A:B,2,FALSE),"Belum ada mapping")
</f>
        <v>Riau</v>
      </c>
      <c r="I509" s="30">
        <f>IFERROR(__xludf.DUMMYFUNCTION("IF(REGEXMATCH(F509,""Cari Kerja""),1,0)"),1.0)</f>
        <v>1</v>
      </c>
    </row>
    <row r="510">
      <c r="A510" s="11">
        <v>509.0</v>
      </c>
      <c r="B510" s="30" t="s">
        <v>1591</v>
      </c>
      <c r="C510" s="30" t="s">
        <v>20</v>
      </c>
      <c r="D510" s="30" t="s">
        <v>2151</v>
      </c>
      <c r="E510" s="30" t="s">
        <v>346</v>
      </c>
      <c r="F510" s="30" t="s">
        <v>31</v>
      </c>
      <c r="G510" s="30" t="s">
        <v>24</v>
      </c>
      <c r="H510" s="30" t="str">
        <f>IFERROR(VLOOKUP(TRIM(IF(ISNUMBER(FIND(",", B510)),LEFT(B510,FIND(",",B510)-1),B510)),master!A:B,2,FALSE),"Belum ada mapping")
</f>
        <v>Bengkulu</v>
      </c>
      <c r="I510" s="30">
        <f>IFERROR(__xludf.DUMMYFUNCTION("IF(REGEXMATCH(F510,""Cari Kerja""),1,0)"),1.0)</f>
        <v>1</v>
      </c>
    </row>
    <row r="511">
      <c r="A511" s="11">
        <v>510.0</v>
      </c>
      <c r="B511" s="30" t="s">
        <v>35</v>
      </c>
      <c r="C511" s="30" t="s">
        <v>20</v>
      </c>
      <c r="D511" s="30" t="s">
        <v>438</v>
      </c>
      <c r="E511" s="30" t="s">
        <v>51</v>
      </c>
      <c r="F511" s="30" t="s">
        <v>31</v>
      </c>
      <c r="G511" s="30" t="s">
        <v>24</v>
      </c>
      <c r="H511" s="30" t="str">
        <f>IFERROR(VLOOKUP(TRIM(IF(ISNUMBER(FIND(",", B511)),LEFT(B511,FIND(",",B511)-1),B511)),master!A:B,2,FALSE),"Belum ada mapping")
</f>
        <v>Jawa Timur</v>
      </c>
      <c r="I511" s="30">
        <f>IFERROR(__xludf.DUMMYFUNCTION("IF(REGEXMATCH(F511,""Cari Kerja""),1,0)"),1.0)</f>
        <v>1</v>
      </c>
    </row>
    <row r="512">
      <c r="A512" s="11">
        <v>511.0</v>
      </c>
      <c r="B512" s="30" t="s">
        <v>158</v>
      </c>
      <c r="C512" s="30" t="s">
        <v>20</v>
      </c>
      <c r="D512" s="30" t="s">
        <v>656</v>
      </c>
      <c r="E512" s="30" t="s">
        <v>2158</v>
      </c>
      <c r="F512" s="30" t="s">
        <v>23</v>
      </c>
      <c r="G512" s="30" t="s">
        <v>24</v>
      </c>
      <c r="H512" s="30" t="str">
        <f>IFERROR(VLOOKUP(TRIM(IF(ISNUMBER(FIND(",", B512)),LEFT(B512,FIND(",",B512)-1),B512)),master!A:B,2,FALSE),"Belum ada mapping")
</f>
        <v>Jawa Barat</v>
      </c>
      <c r="I512" s="30">
        <f>IFERROR(__xludf.DUMMYFUNCTION("IF(REGEXMATCH(F512,""Cari Kerja""),1,0)"),1.0)</f>
        <v>1</v>
      </c>
    </row>
    <row r="513">
      <c r="A513" s="11">
        <v>512.0</v>
      </c>
      <c r="B513" s="30" t="s">
        <v>2162</v>
      </c>
      <c r="C513" s="30" t="s">
        <v>20</v>
      </c>
      <c r="D513" s="30" t="s">
        <v>69</v>
      </c>
      <c r="E513" s="30" t="s">
        <v>2163</v>
      </c>
      <c r="F513" s="30" t="s">
        <v>23</v>
      </c>
      <c r="G513" s="30" t="s">
        <v>24</v>
      </c>
      <c r="H513" s="30" t="str">
        <f>IFERROR(VLOOKUP(TRIM(IF(ISNUMBER(FIND(",", B513)),LEFT(B513,FIND(",",B513)-1),B513)),master!A:B,2,FALSE),"Belum ada mapping")
</f>
        <v>Kalimantan Barat</v>
      </c>
      <c r="I513" s="30">
        <f>IFERROR(__xludf.DUMMYFUNCTION("IF(REGEXMATCH(F513,""Cari Kerja""),1,0)"),1.0)</f>
        <v>1</v>
      </c>
    </row>
    <row r="514">
      <c r="A514" s="11">
        <v>513.0</v>
      </c>
      <c r="B514" s="30" t="s">
        <v>42</v>
      </c>
      <c r="C514" s="30" t="s">
        <v>20</v>
      </c>
      <c r="D514" s="30" t="s">
        <v>1320</v>
      </c>
      <c r="E514" s="30" t="s">
        <v>1523</v>
      </c>
      <c r="F514" s="30" t="s">
        <v>23</v>
      </c>
      <c r="G514" s="30" t="s">
        <v>24</v>
      </c>
      <c r="H514" s="30" t="str">
        <f>IFERROR(VLOOKUP(TRIM(IF(ISNUMBER(FIND(",", B514)),LEFT(B514,FIND(",",B514)-1),B514)),master!A:B,2,FALSE),"Belum ada mapping")
</f>
        <v>Jawa Barat</v>
      </c>
      <c r="I514" s="30">
        <f>IFERROR(__xludf.DUMMYFUNCTION("IF(REGEXMATCH(F514,""Cari Kerja""),1,0)"),1.0)</f>
        <v>1</v>
      </c>
    </row>
    <row r="515">
      <c r="A515" s="11">
        <v>514.0</v>
      </c>
      <c r="B515" s="30" t="s">
        <v>2170</v>
      </c>
      <c r="C515" s="30" t="s">
        <v>20</v>
      </c>
      <c r="D515" s="30" t="s">
        <v>150</v>
      </c>
      <c r="E515" s="30" t="s">
        <v>51</v>
      </c>
      <c r="F515" s="30" t="s">
        <v>23</v>
      </c>
      <c r="G515" s="30" t="s">
        <v>24</v>
      </c>
      <c r="H515" s="30" t="str">
        <f>IFERROR(VLOOKUP(TRIM(IF(ISNUMBER(FIND(",", B515)),LEFT(B515,FIND(",",B515)-1),B515)),master!A:B,2,FALSE),"Belum ada mapping")
</f>
        <v>Jawa Tengah</v>
      </c>
      <c r="I515" s="30">
        <f>IFERROR(__xludf.DUMMYFUNCTION("IF(REGEXMATCH(F515,""Cari Kerja""),1,0)"),1.0)</f>
        <v>1</v>
      </c>
    </row>
    <row r="516">
      <c r="A516" s="11">
        <v>515.0</v>
      </c>
      <c r="B516" s="30" t="s">
        <v>185</v>
      </c>
      <c r="C516" s="30" t="s">
        <v>20</v>
      </c>
      <c r="D516" s="30" t="s">
        <v>2174</v>
      </c>
      <c r="E516" s="30" t="s">
        <v>51</v>
      </c>
      <c r="F516" s="30" t="s">
        <v>59</v>
      </c>
      <c r="G516" s="30" t="s">
        <v>24</v>
      </c>
      <c r="H516" s="30" t="str">
        <f>IFERROR(VLOOKUP(TRIM(IF(ISNUMBER(FIND(",", B516)),LEFT(B516,FIND(",",B516)-1),B516)),master!A:B,2,FALSE),"Belum ada mapping")
</f>
        <v>Jakarta</v>
      </c>
      <c r="I516" s="30">
        <f>IFERROR(__xludf.DUMMYFUNCTION("IF(REGEXMATCH(F516,""Cari Kerja""),1,0)"),0.0)</f>
        <v>0</v>
      </c>
    </row>
    <row r="517">
      <c r="A517" s="11">
        <v>516.0</v>
      </c>
      <c r="B517" s="30" t="s">
        <v>2178</v>
      </c>
      <c r="C517" s="30" t="s">
        <v>20</v>
      </c>
      <c r="D517" s="30" t="s">
        <v>552</v>
      </c>
      <c r="E517" s="30" t="s">
        <v>2179</v>
      </c>
      <c r="F517" s="30" t="s">
        <v>130</v>
      </c>
      <c r="G517" s="30" t="s">
        <v>24</v>
      </c>
      <c r="H517" s="30" t="str">
        <f>IFERROR(VLOOKUP(TRIM(IF(ISNUMBER(FIND(",", B517)),LEFT(B517,FIND(",",B517)-1),B517)),master!A:B,2,FALSE),"Belum ada mapping")
</f>
        <v>Sulawesi Tengah</v>
      </c>
      <c r="I517" s="30">
        <f>IFERROR(__xludf.DUMMYFUNCTION("IF(REGEXMATCH(F517,""Cari Kerja""),1,0)"),1.0)</f>
        <v>1</v>
      </c>
    </row>
    <row r="518">
      <c r="A518" s="11">
        <v>517.0</v>
      </c>
      <c r="B518" s="30" t="s">
        <v>2183</v>
      </c>
      <c r="C518" s="30" t="s">
        <v>20</v>
      </c>
      <c r="D518" s="30" t="s">
        <v>2184</v>
      </c>
      <c r="E518" s="30" t="s">
        <v>51</v>
      </c>
      <c r="F518" s="30" t="s">
        <v>59</v>
      </c>
      <c r="G518" s="30" t="s">
        <v>38</v>
      </c>
      <c r="H518" s="30" t="str">
        <f>IFERROR(VLOOKUP(TRIM(IF(ISNUMBER(FIND(",", B518)),LEFT(B518,FIND(",",B518)-1),B518)),master!A:B,2,FALSE),"Belum ada mapping")
</f>
        <v>Jawa Barat</v>
      </c>
      <c r="I518" s="30">
        <f>IFERROR(__xludf.DUMMYFUNCTION("IF(REGEXMATCH(F518,""Cari Kerja""),1,0)"),0.0)</f>
        <v>0</v>
      </c>
    </row>
    <row r="519">
      <c r="A519" s="11">
        <v>518.0</v>
      </c>
      <c r="B519" s="30" t="s">
        <v>2188</v>
      </c>
      <c r="C519" s="30" t="s">
        <v>20</v>
      </c>
      <c r="D519" s="30" t="s">
        <v>282</v>
      </c>
      <c r="E519" s="30" t="s">
        <v>2189</v>
      </c>
      <c r="F519" s="30" t="s">
        <v>130</v>
      </c>
      <c r="G519" s="30" t="s">
        <v>24</v>
      </c>
      <c r="H519" s="30" t="str">
        <f>IFERROR(VLOOKUP(TRIM(IF(ISNUMBER(FIND(",", B519)),LEFT(B519,FIND(",",B519)-1),B519)),master!A:B,2,FALSE),"Belum ada mapping")
</f>
        <v>Jawa Barat</v>
      </c>
      <c r="I519" s="30">
        <f>IFERROR(__xludf.DUMMYFUNCTION("IF(REGEXMATCH(F519,""Cari Kerja""),1,0)"),1.0)</f>
        <v>1</v>
      </c>
    </row>
    <row r="520">
      <c r="A520" s="11">
        <v>519.0</v>
      </c>
      <c r="B520" s="30" t="s">
        <v>35</v>
      </c>
      <c r="C520" s="30" t="s">
        <v>49</v>
      </c>
      <c r="D520" s="30" t="s">
        <v>2193</v>
      </c>
      <c r="E520" s="30" t="s">
        <v>51</v>
      </c>
      <c r="F520" s="30" t="s">
        <v>31</v>
      </c>
      <c r="G520" s="30" t="s">
        <v>24</v>
      </c>
      <c r="H520" s="30" t="str">
        <f>IFERROR(VLOOKUP(TRIM(IF(ISNUMBER(FIND(",", B520)),LEFT(B520,FIND(",",B520)-1),B520)),master!A:B,2,FALSE),"Belum ada mapping")
</f>
        <v>Jawa Timur</v>
      </c>
      <c r="I520" s="30">
        <f>IFERROR(__xludf.DUMMYFUNCTION("IF(REGEXMATCH(F520,""Cari Kerja""),1,0)"),1.0)</f>
        <v>1</v>
      </c>
    </row>
    <row r="521">
      <c r="A521" s="11">
        <v>520.0</v>
      </c>
      <c r="B521" s="30" t="s">
        <v>158</v>
      </c>
      <c r="C521" s="30" t="s">
        <v>20</v>
      </c>
      <c r="D521" s="30" t="s">
        <v>2197</v>
      </c>
      <c r="E521" s="30" t="s">
        <v>58</v>
      </c>
      <c r="F521" s="30" t="s">
        <v>235</v>
      </c>
      <c r="G521" s="30" t="s">
        <v>24</v>
      </c>
      <c r="H521" s="30" t="str">
        <f>IFERROR(VLOOKUP(TRIM(IF(ISNUMBER(FIND(",", B521)),LEFT(B521,FIND(",",B521)-1),B521)),master!A:B,2,FALSE),"Belum ada mapping")
</f>
        <v>Jawa Barat</v>
      </c>
      <c r="I521" s="30">
        <f>IFERROR(__xludf.DUMMYFUNCTION("IF(REGEXMATCH(F521,""Cari Kerja""),1,0)"),1.0)</f>
        <v>1</v>
      </c>
    </row>
    <row r="522">
      <c r="A522" s="11">
        <v>521.0</v>
      </c>
      <c r="B522" s="30" t="s">
        <v>2201</v>
      </c>
      <c r="C522" s="30" t="s">
        <v>49</v>
      </c>
      <c r="D522" s="30" t="s">
        <v>2202</v>
      </c>
      <c r="E522" s="30" t="s">
        <v>51</v>
      </c>
      <c r="F522" s="30" t="s">
        <v>52</v>
      </c>
      <c r="G522" s="30" t="s">
        <v>24</v>
      </c>
      <c r="H522" s="30" t="str">
        <f>IFERROR(VLOOKUP(TRIM(IF(ISNUMBER(FIND(",", B522)),LEFT(B522,FIND(",",B522)-1),B522)),master!A:B,2,FALSE),"Belum ada mapping")
</f>
        <v>Kalimantan Timur</v>
      </c>
      <c r="I522" s="30">
        <f>IFERROR(__xludf.DUMMYFUNCTION("IF(REGEXMATCH(F522,""Cari Kerja""),1,0)"),0.0)</f>
        <v>0</v>
      </c>
    </row>
    <row r="523">
      <c r="A523" s="11">
        <v>522.0</v>
      </c>
      <c r="B523" s="30" t="s">
        <v>218</v>
      </c>
      <c r="C523" s="30" t="s">
        <v>20</v>
      </c>
      <c r="D523" s="30" t="s">
        <v>69</v>
      </c>
      <c r="E523" s="30" t="s">
        <v>51</v>
      </c>
      <c r="F523" s="30" t="s">
        <v>52</v>
      </c>
      <c r="G523" s="30" t="s">
        <v>24</v>
      </c>
      <c r="H523" s="30" t="str">
        <f>IFERROR(VLOOKUP(TRIM(IF(ISNUMBER(FIND(",", B523)),LEFT(B523,FIND(",",B523)-1),B523)),master!A:B,2,FALSE),"Belum ada mapping")
</f>
        <v>Banten</v>
      </c>
      <c r="I523" s="30">
        <f>IFERROR(__xludf.DUMMYFUNCTION("IF(REGEXMATCH(F523,""Cari Kerja""),1,0)"),0.0)</f>
        <v>0</v>
      </c>
    </row>
    <row r="524">
      <c r="A524" s="11">
        <v>523.0</v>
      </c>
      <c r="B524" s="30" t="s">
        <v>92</v>
      </c>
      <c r="C524" s="30" t="s">
        <v>49</v>
      </c>
      <c r="D524" s="30" t="s">
        <v>2209</v>
      </c>
      <c r="E524" s="30" t="s">
        <v>2210</v>
      </c>
      <c r="F524" s="30" t="s">
        <v>59</v>
      </c>
      <c r="G524" s="30" t="s">
        <v>24</v>
      </c>
      <c r="H524" s="30" t="str">
        <f>IFERROR(VLOOKUP(TRIM(IF(ISNUMBER(FIND(",", B524)),LEFT(B524,FIND(",",B524)-1),B524)),master!A:B,2,FALSE),"Belum ada mapping")
</f>
        <v>Jawa Barat</v>
      </c>
      <c r="I524" s="30">
        <f>IFERROR(__xludf.DUMMYFUNCTION("IF(REGEXMATCH(F524,""Cari Kerja""),1,0)"),0.0)</f>
        <v>0</v>
      </c>
    </row>
    <row r="525">
      <c r="A525" s="11">
        <v>524.0</v>
      </c>
      <c r="B525" s="30" t="s">
        <v>2214</v>
      </c>
      <c r="C525" s="30" t="s">
        <v>20</v>
      </c>
      <c r="D525" s="30" t="s">
        <v>2215</v>
      </c>
      <c r="E525" s="30" t="s">
        <v>51</v>
      </c>
      <c r="F525" s="30" t="s">
        <v>31</v>
      </c>
      <c r="G525" s="30" t="s">
        <v>24</v>
      </c>
      <c r="H525" s="30" t="str">
        <f>IFERROR(VLOOKUP(TRIM(IF(ISNUMBER(FIND(",", B525)),LEFT(B525,FIND(",",B525)-1),B525)),master!A:B,2,FALSE),"Belum ada mapping")
</f>
        <v>Jawa Tengah</v>
      </c>
      <c r="I525" s="30">
        <f>IFERROR(__xludf.DUMMYFUNCTION("IF(REGEXMATCH(F525,""Cari Kerja""),1,0)"),1.0)</f>
        <v>1</v>
      </c>
    </row>
    <row r="526">
      <c r="A526" s="11">
        <v>525.0</v>
      </c>
      <c r="B526" s="30" t="s">
        <v>2219</v>
      </c>
      <c r="C526" s="30" t="s">
        <v>49</v>
      </c>
      <c r="D526" s="30" t="s">
        <v>69</v>
      </c>
      <c r="E526" s="30" t="s">
        <v>278</v>
      </c>
      <c r="F526" s="30" t="s">
        <v>130</v>
      </c>
      <c r="G526" s="30" t="s">
        <v>24</v>
      </c>
      <c r="H526" s="30" t="str">
        <f>IFERROR(VLOOKUP(TRIM(IF(ISNUMBER(FIND(",", B526)),LEFT(B526,FIND(",",B526)-1),B526)),master!A:B,2,FALSE),"Belum ada mapping")
</f>
        <v>Sumatera Barat</v>
      </c>
      <c r="I526" s="30">
        <f>IFERROR(__xludf.DUMMYFUNCTION("IF(REGEXMATCH(F526,""Cari Kerja""),1,0)"),1.0)</f>
        <v>1</v>
      </c>
    </row>
    <row r="527">
      <c r="A527" s="11">
        <v>526.0</v>
      </c>
      <c r="B527" s="30" t="s">
        <v>207</v>
      </c>
      <c r="C527" s="30" t="s">
        <v>49</v>
      </c>
      <c r="D527" s="30" t="s">
        <v>2223</v>
      </c>
      <c r="E527" s="30" t="s">
        <v>51</v>
      </c>
      <c r="F527" s="30" t="s">
        <v>23</v>
      </c>
      <c r="G527" s="30" t="s">
        <v>24</v>
      </c>
      <c r="H527" s="30" t="str">
        <f>IFERROR(VLOOKUP(TRIM(IF(ISNUMBER(FIND(",", B527)),LEFT(B527,FIND(",",B527)-1),B527)),master!A:B,2,FALSE),"Belum ada mapping")
</f>
        <v>Jakarta</v>
      </c>
      <c r="I527" s="30">
        <f>IFERROR(__xludf.DUMMYFUNCTION("IF(REGEXMATCH(F527,""Cari Kerja""),1,0)"),1.0)</f>
        <v>1</v>
      </c>
    </row>
    <row r="528">
      <c r="A528" s="11">
        <v>527.0</v>
      </c>
      <c r="B528" s="30" t="s">
        <v>207</v>
      </c>
      <c r="C528" s="30" t="s">
        <v>49</v>
      </c>
      <c r="D528" s="30" t="s">
        <v>69</v>
      </c>
      <c r="E528" s="30" t="s">
        <v>51</v>
      </c>
      <c r="F528" s="30" t="s">
        <v>23</v>
      </c>
      <c r="G528" s="30" t="s">
        <v>24</v>
      </c>
      <c r="H528" s="30" t="str">
        <f>IFERROR(VLOOKUP(TRIM(IF(ISNUMBER(FIND(",", B528)),LEFT(B528,FIND(",",B528)-1),B528)),master!A:B,2,FALSE),"Belum ada mapping")
</f>
        <v>Jakarta</v>
      </c>
      <c r="I528" s="30">
        <f>IFERROR(__xludf.DUMMYFUNCTION("IF(REGEXMATCH(F528,""Cari Kerja""),1,0)"),1.0)</f>
        <v>1</v>
      </c>
    </row>
    <row r="529">
      <c r="A529" s="11">
        <v>528.0</v>
      </c>
      <c r="B529" s="30" t="s">
        <v>2228</v>
      </c>
      <c r="C529" s="30" t="s">
        <v>20</v>
      </c>
      <c r="D529" s="30" t="s">
        <v>69</v>
      </c>
      <c r="E529" s="30" t="s">
        <v>577</v>
      </c>
      <c r="F529" s="30" t="s">
        <v>59</v>
      </c>
      <c r="G529" s="30" t="s">
        <v>38</v>
      </c>
      <c r="H529" s="30" t="str">
        <f>IFERROR(VLOOKUP(TRIM(IF(ISNUMBER(FIND(",", B529)),LEFT(B529,FIND(",",B529)-1),B529)),master!A:B,2,FALSE),"Belum ada mapping")
</f>
        <v>Jawa Timur</v>
      </c>
      <c r="I529" s="30">
        <f>IFERROR(__xludf.DUMMYFUNCTION("IF(REGEXMATCH(F529,""Cari Kerja""),1,0)"),0.0)</f>
        <v>0</v>
      </c>
    </row>
    <row r="530">
      <c r="A530" s="11">
        <v>529.0</v>
      </c>
      <c r="B530" s="30" t="s">
        <v>207</v>
      </c>
      <c r="C530" s="30" t="s">
        <v>20</v>
      </c>
      <c r="D530" s="30" t="s">
        <v>2232</v>
      </c>
      <c r="E530" s="30" t="s">
        <v>51</v>
      </c>
      <c r="F530" s="30" t="s">
        <v>59</v>
      </c>
      <c r="G530" s="30" t="s">
        <v>38</v>
      </c>
      <c r="H530" s="30" t="str">
        <f>IFERROR(VLOOKUP(TRIM(IF(ISNUMBER(FIND(",", B530)),LEFT(B530,FIND(",",B530)-1),B530)),master!A:B,2,FALSE),"Belum ada mapping")
</f>
        <v>Jakarta</v>
      </c>
      <c r="I530" s="30">
        <f>IFERROR(__xludf.DUMMYFUNCTION("IF(REGEXMATCH(F530,""Cari Kerja""),1,0)"),0.0)</f>
        <v>0</v>
      </c>
    </row>
    <row r="531">
      <c r="A531" s="11">
        <v>530.0</v>
      </c>
      <c r="B531" s="30" t="s">
        <v>2236</v>
      </c>
      <c r="C531" s="30" t="s">
        <v>20</v>
      </c>
      <c r="D531" s="30" t="s">
        <v>703</v>
      </c>
      <c r="E531" s="30" t="s">
        <v>225</v>
      </c>
      <c r="F531" s="30" t="s">
        <v>31</v>
      </c>
      <c r="G531" s="30" t="s">
        <v>24</v>
      </c>
      <c r="H531" s="30" t="str">
        <f>IFERROR(VLOOKUP(TRIM(IF(ISNUMBER(FIND(",", B531)),LEFT(B531,FIND(",",B531)-1),B531)),master!A:B,2,FALSE),"Belum ada mapping")
</f>
        <v>Jawa Tengah</v>
      </c>
      <c r="I531" s="30">
        <f>IFERROR(__xludf.DUMMYFUNCTION("IF(REGEXMATCH(F531,""Cari Kerja""),1,0)"),1.0)</f>
        <v>1</v>
      </c>
    </row>
    <row r="532">
      <c r="A532" s="11">
        <v>531.0</v>
      </c>
      <c r="B532" s="30" t="s">
        <v>74</v>
      </c>
      <c r="C532" s="30" t="s">
        <v>49</v>
      </c>
      <c r="D532" s="30" t="s">
        <v>2240</v>
      </c>
      <c r="E532" s="30" t="s">
        <v>187</v>
      </c>
      <c r="F532" s="30" t="s">
        <v>31</v>
      </c>
      <c r="G532" s="30" t="s">
        <v>76</v>
      </c>
      <c r="H532" s="30" t="str">
        <f>IFERROR(VLOOKUP(TRIM(IF(ISNUMBER(FIND(",", B532)),LEFT(B532,FIND(",",B532)-1),B532)),master!A:B,2,FALSE),"Belum ada mapping")
</f>
        <v>Banten</v>
      </c>
      <c r="I532" s="30">
        <f>IFERROR(__xludf.DUMMYFUNCTION("IF(REGEXMATCH(F532,""Cari Kerja""),1,0)"),1.0)</f>
        <v>1</v>
      </c>
    </row>
    <row r="533">
      <c r="A533" s="11">
        <v>532.0</v>
      </c>
      <c r="B533" s="30" t="s">
        <v>2244</v>
      </c>
      <c r="C533" s="30" t="s">
        <v>49</v>
      </c>
      <c r="D533" s="30" t="s">
        <v>656</v>
      </c>
      <c r="E533" s="30" t="s">
        <v>51</v>
      </c>
      <c r="F533" s="30" t="s">
        <v>31</v>
      </c>
      <c r="G533" s="30" t="s">
        <v>24</v>
      </c>
      <c r="H533" s="30" t="str">
        <f>IFERROR(VLOOKUP(TRIM(IF(ISNUMBER(FIND(",", B533)),LEFT(B533,FIND(",",B533)-1),B533)),master!A:B,2,FALSE),"Belum ada mapping")
</f>
        <v>Jawa Barat</v>
      </c>
      <c r="I533" s="30">
        <f>IFERROR(__xludf.DUMMYFUNCTION("IF(REGEXMATCH(F533,""Cari Kerja""),1,0)"),1.0)</f>
        <v>1</v>
      </c>
    </row>
    <row r="534">
      <c r="A534" s="11">
        <v>533.0</v>
      </c>
      <c r="B534" s="30" t="s">
        <v>74</v>
      </c>
      <c r="C534" s="30" t="s">
        <v>20</v>
      </c>
      <c r="D534" s="30" t="s">
        <v>2248</v>
      </c>
      <c r="E534" s="30" t="s">
        <v>278</v>
      </c>
      <c r="F534" s="30" t="s">
        <v>23</v>
      </c>
      <c r="G534" s="30" t="s">
        <v>24</v>
      </c>
      <c r="H534" s="30" t="str">
        <f>IFERROR(VLOOKUP(TRIM(IF(ISNUMBER(FIND(",", B534)),LEFT(B534,FIND(",",B534)-1),B534)),master!A:B,2,FALSE),"Belum ada mapping")
</f>
        <v>Banten</v>
      </c>
      <c r="I534" s="30">
        <f>IFERROR(__xludf.DUMMYFUNCTION("IF(REGEXMATCH(F534,""Cari Kerja""),1,0)"),1.0)</f>
        <v>1</v>
      </c>
    </row>
    <row r="535">
      <c r="A535" s="11">
        <v>534.0</v>
      </c>
      <c r="B535" s="30" t="s">
        <v>2252</v>
      </c>
      <c r="C535" s="30" t="s">
        <v>20</v>
      </c>
      <c r="D535" s="30" t="s">
        <v>2253</v>
      </c>
      <c r="E535" s="30" t="s">
        <v>187</v>
      </c>
      <c r="F535" s="30" t="s">
        <v>31</v>
      </c>
      <c r="G535" s="30" t="s">
        <v>24</v>
      </c>
      <c r="H535" s="30" t="str">
        <f>IFERROR(VLOOKUP(TRIM(IF(ISNUMBER(FIND(",", B535)),LEFT(B535,FIND(",",B535)-1),B535)),master!A:B,2,FALSE),"Belum ada mapping")
</f>
        <v>Bengkulu</v>
      </c>
      <c r="I535" s="30">
        <f>IFERROR(__xludf.DUMMYFUNCTION("IF(REGEXMATCH(F535,""Cari Kerja""),1,0)"),1.0)</f>
        <v>1</v>
      </c>
    </row>
    <row r="536">
      <c r="A536" s="11">
        <v>535.0</v>
      </c>
      <c r="B536" s="30" t="s">
        <v>233</v>
      </c>
      <c r="C536" s="30" t="s">
        <v>20</v>
      </c>
      <c r="D536" s="30" t="s">
        <v>2257</v>
      </c>
      <c r="E536" s="30" t="s">
        <v>340</v>
      </c>
      <c r="F536" s="30" t="s">
        <v>31</v>
      </c>
      <c r="G536" s="30" t="s">
        <v>76</v>
      </c>
      <c r="H536" s="30" t="str">
        <f>IFERROR(VLOOKUP(TRIM(IF(ISNUMBER(FIND(",", B536)),LEFT(B536,FIND(",",B536)-1),B536)),master!A:B,2,FALSE),"Belum ada mapping")
</f>
        <v>Banten</v>
      </c>
      <c r="I536" s="30">
        <f>IFERROR(__xludf.DUMMYFUNCTION("IF(REGEXMATCH(F536,""Cari Kerja""),1,0)"),1.0)</f>
        <v>1</v>
      </c>
    </row>
    <row r="537">
      <c r="A537" s="11">
        <v>536.0</v>
      </c>
      <c r="B537" s="30" t="s">
        <v>1455</v>
      </c>
      <c r="C537" s="30" t="s">
        <v>49</v>
      </c>
      <c r="D537" s="30" t="s">
        <v>867</v>
      </c>
      <c r="E537" s="30" t="s">
        <v>2261</v>
      </c>
      <c r="F537" s="30" t="s">
        <v>31</v>
      </c>
      <c r="G537" s="30" t="s">
        <v>24</v>
      </c>
      <c r="H537" s="30" t="str">
        <f>IFERROR(VLOOKUP(TRIM(IF(ISNUMBER(FIND(",", B537)),LEFT(B537,FIND(",",B537)-1),B537)),master!A:B,2,FALSE),"Belum ada mapping")
</f>
        <v>Kalimantan Selatan</v>
      </c>
      <c r="I537" s="30">
        <f>IFERROR(__xludf.DUMMYFUNCTION("IF(REGEXMATCH(F537,""Cari Kerja""),1,0)"),1.0)</f>
        <v>1</v>
      </c>
    </row>
    <row r="538">
      <c r="A538" s="11">
        <v>537.0</v>
      </c>
      <c r="B538" s="30" t="s">
        <v>2265</v>
      </c>
      <c r="C538" s="30" t="s">
        <v>49</v>
      </c>
      <c r="D538" s="30" t="s">
        <v>2266</v>
      </c>
      <c r="E538" s="30" t="s">
        <v>51</v>
      </c>
      <c r="F538" s="30" t="s">
        <v>59</v>
      </c>
      <c r="G538" s="30" t="s">
        <v>24</v>
      </c>
      <c r="H538" s="30" t="str">
        <f>IFERROR(VLOOKUP(TRIM(IF(ISNUMBER(FIND(",", B538)),LEFT(B538,FIND(",",B538)-1),B538)),master!A:B,2,FALSE),"Belum ada mapping")
</f>
        <v>Jakarta</v>
      </c>
      <c r="I538" s="30">
        <f>IFERROR(__xludf.DUMMYFUNCTION("IF(REGEXMATCH(F538,""Cari Kerja""),1,0)"),0.0)</f>
        <v>0</v>
      </c>
    </row>
    <row r="539">
      <c r="A539" s="11">
        <v>538.0</v>
      </c>
      <c r="B539" s="30" t="s">
        <v>565</v>
      </c>
      <c r="C539" s="30" t="s">
        <v>20</v>
      </c>
      <c r="D539" s="30" t="s">
        <v>2270</v>
      </c>
      <c r="E539" s="30" t="s">
        <v>51</v>
      </c>
      <c r="F539" s="30" t="s">
        <v>23</v>
      </c>
      <c r="G539" s="30" t="s">
        <v>24</v>
      </c>
      <c r="H539" s="30" t="str">
        <f>IFERROR(VLOOKUP(TRIM(IF(ISNUMBER(FIND(",", B539)),LEFT(B539,FIND(",",B539)-1),B539)),master!A:B,2,FALSE),"Belum ada mapping")
</f>
        <v>Riau</v>
      </c>
      <c r="I539" s="30">
        <f>IFERROR(__xludf.DUMMYFUNCTION("IF(REGEXMATCH(F539,""Cari Kerja""),1,0)"),1.0)</f>
        <v>1</v>
      </c>
    </row>
    <row r="540">
      <c r="A540" s="11">
        <v>539.0</v>
      </c>
      <c r="B540" s="30" t="s">
        <v>2274</v>
      </c>
      <c r="C540" s="30" t="s">
        <v>20</v>
      </c>
      <c r="D540" s="30" t="s">
        <v>2275</v>
      </c>
      <c r="E540" s="30" t="s">
        <v>577</v>
      </c>
      <c r="F540" s="30" t="s">
        <v>23</v>
      </c>
      <c r="G540" s="30" t="s">
        <v>24</v>
      </c>
      <c r="H540" s="30" t="str">
        <f>IFERROR(VLOOKUP(TRIM(IF(ISNUMBER(FIND(",", B540)),LEFT(B540,FIND(",",B540)-1),B540)),master!A:B,2,FALSE),"Belum ada mapping")
</f>
        <v>Jawa Tengah</v>
      </c>
      <c r="I540" s="30">
        <f>IFERROR(__xludf.DUMMYFUNCTION("IF(REGEXMATCH(F540,""Cari Kerja""),1,0)"),1.0)</f>
        <v>1</v>
      </c>
    </row>
    <row r="541">
      <c r="A541" s="11">
        <v>540.0</v>
      </c>
      <c r="B541" s="30" t="s">
        <v>1939</v>
      </c>
      <c r="C541" s="30" t="s">
        <v>49</v>
      </c>
      <c r="D541" s="30" t="s">
        <v>2279</v>
      </c>
      <c r="E541" s="30" t="s">
        <v>51</v>
      </c>
      <c r="F541" s="30" t="s">
        <v>31</v>
      </c>
      <c r="G541" s="30" t="s">
        <v>24</v>
      </c>
      <c r="H541" s="30" t="str">
        <f>IFERROR(VLOOKUP(TRIM(IF(ISNUMBER(FIND(",", B541)),LEFT(B541,FIND(",",B541)-1),B541)),master!A:B,2,FALSE),"Belum ada mapping")
</f>
        <v>Jawa Tengah</v>
      </c>
      <c r="I541" s="30">
        <f>IFERROR(__xludf.DUMMYFUNCTION("IF(REGEXMATCH(F541,""Cari Kerja""),1,0)"),1.0)</f>
        <v>1</v>
      </c>
    </row>
    <row r="542">
      <c r="A542" s="11">
        <v>541.0</v>
      </c>
      <c r="B542" s="30" t="s">
        <v>1939</v>
      </c>
      <c r="C542" s="30" t="s">
        <v>49</v>
      </c>
      <c r="D542" s="30" t="s">
        <v>2280</v>
      </c>
      <c r="E542" s="30" t="s">
        <v>892</v>
      </c>
      <c r="F542" s="30" t="s">
        <v>31</v>
      </c>
      <c r="G542" s="30" t="s">
        <v>24</v>
      </c>
      <c r="H542" s="30" t="str">
        <f>IFERROR(VLOOKUP(TRIM(IF(ISNUMBER(FIND(",", B542)),LEFT(B542,FIND(",",B542)-1),B542)),master!A:B,2,FALSE),"Belum ada mapping")
</f>
        <v>Jawa Tengah</v>
      </c>
      <c r="I542" s="30">
        <f>IFERROR(__xludf.DUMMYFUNCTION("IF(REGEXMATCH(F542,""Cari Kerja""),1,0)"),1.0)</f>
        <v>1</v>
      </c>
    </row>
    <row r="543">
      <c r="A543" s="11">
        <v>542.0</v>
      </c>
      <c r="B543" s="30" t="s">
        <v>2284</v>
      </c>
      <c r="C543" s="30" t="s">
        <v>49</v>
      </c>
      <c r="D543" s="30" t="s">
        <v>2285</v>
      </c>
      <c r="E543" s="30" t="s">
        <v>51</v>
      </c>
      <c r="F543" s="30" t="s">
        <v>968</v>
      </c>
      <c r="G543" s="30" t="s">
        <v>24</v>
      </c>
      <c r="H543" s="30" t="str">
        <f>IFERROR(VLOOKUP(TRIM(IF(ISNUMBER(FIND(",", B543)),LEFT(B543,FIND(",",B543)-1),B543)),master!A:B,2,FALSE),"Belum ada mapping")
</f>
        <v>Jakarta</v>
      </c>
      <c r="I543" s="30">
        <f>IFERROR(__xludf.DUMMYFUNCTION("IF(REGEXMATCH(F543,""Cari Kerja""),1,0)"),1.0)</f>
        <v>1</v>
      </c>
    </row>
    <row r="544">
      <c r="A544" s="11">
        <v>543.0</v>
      </c>
      <c r="B544" s="30" t="s">
        <v>35</v>
      </c>
      <c r="C544" s="30" t="s">
        <v>20</v>
      </c>
      <c r="D544" s="30" t="s">
        <v>2289</v>
      </c>
      <c r="E544" s="30" t="s">
        <v>1456</v>
      </c>
      <c r="F544" s="30" t="s">
        <v>31</v>
      </c>
      <c r="G544" s="30" t="s">
        <v>24</v>
      </c>
      <c r="H544" s="30" t="str">
        <f>IFERROR(VLOOKUP(TRIM(IF(ISNUMBER(FIND(",", B544)),LEFT(B544,FIND(",",B544)-1),B544)),master!A:B,2,FALSE),"Belum ada mapping")
</f>
        <v>Jawa Timur</v>
      </c>
      <c r="I544" s="30">
        <f>IFERROR(__xludf.DUMMYFUNCTION("IF(REGEXMATCH(F544,""Cari Kerja""),1,0)"),1.0)</f>
        <v>1</v>
      </c>
    </row>
    <row r="545">
      <c r="A545" s="11">
        <v>544.0</v>
      </c>
      <c r="B545" s="30" t="s">
        <v>35</v>
      </c>
      <c r="C545" s="30" t="s">
        <v>20</v>
      </c>
      <c r="D545" s="30" t="s">
        <v>1068</v>
      </c>
      <c r="E545" s="30" t="s">
        <v>37</v>
      </c>
      <c r="F545" s="30" t="s">
        <v>31</v>
      </c>
      <c r="G545" s="30" t="s">
        <v>24</v>
      </c>
      <c r="H545" s="30" t="str">
        <f>IFERROR(VLOOKUP(TRIM(IF(ISNUMBER(FIND(",", B545)),LEFT(B545,FIND(",",B545)-1),B545)),master!A:B,2,FALSE),"Belum ada mapping")
</f>
        <v>Jawa Timur</v>
      </c>
      <c r="I545" s="30">
        <f>IFERROR(__xludf.DUMMYFUNCTION("IF(REGEXMATCH(F545,""Cari Kerja""),1,0)"),1.0)</f>
        <v>1</v>
      </c>
    </row>
    <row r="546">
      <c r="A546" s="11">
        <v>545.0</v>
      </c>
      <c r="B546" s="30" t="s">
        <v>529</v>
      </c>
      <c r="C546" s="30" t="s">
        <v>49</v>
      </c>
      <c r="D546" s="30" t="s">
        <v>2293</v>
      </c>
      <c r="E546" s="30" t="s">
        <v>93</v>
      </c>
      <c r="F546" s="30" t="s">
        <v>2294</v>
      </c>
      <c r="G546" s="30" t="s">
        <v>24</v>
      </c>
      <c r="H546" s="30" t="str">
        <f>IFERROR(VLOOKUP(TRIM(IF(ISNUMBER(FIND(",", B546)),LEFT(B546,FIND(",",B546)-1),B546)),master!A:B,2,FALSE),"Belum ada mapping")
</f>
        <v>Jawa Timur</v>
      </c>
      <c r="I546" s="30">
        <f>IFERROR(__xludf.DUMMYFUNCTION("IF(REGEXMATCH(F546,""Cari Kerja""),1,0)"),0.0)</f>
        <v>0</v>
      </c>
    </row>
    <row r="547">
      <c r="A547" s="11">
        <v>546.0</v>
      </c>
      <c r="B547" s="30" t="s">
        <v>92</v>
      </c>
      <c r="C547" s="30" t="s">
        <v>49</v>
      </c>
      <c r="D547" s="30" t="s">
        <v>2298</v>
      </c>
      <c r="E547" s="30" t="s">
        <v>51</v>
      </c>
      <c r="F547" s="30" t="s">
        <v>130</v>
      </c>
      <c r="G547" s="30" t="s">
        <v>24</v>
      </c>
      <c r="H547" s="30" t="str">
        <f>IFERROR(VLOOKUP(TRIM(IF(ISNUMBER(FIND(",", B547)),LEFT(B547,FIND(",",B547)-1),B547)),master!A:B,2,FALSE),"Belum ada mapping")
</f>
        <v>Jawa Barat</v>
      </c>
      <c r="I547" s="30">
        <f>IFERROR(__xludf.DUMMYFUNCTION("IF(REGEXMATCH(F547,""Cari Kerja""),1,0)"),1.0)</f>
        <v>1</v>
      </c>
    </row>
    <row r="548">
      <c r="A548" s="11">
        <v>547.0</v>
      </c>
      <c r="B548" s="30" t="s">
        <v>939</v>
      </c>
      <c r="C548" s="30" t="s">
        <v>20</v>
      </c>
      <c r="D548" s="30" t="s">
        <v>605</v>
      </c>
      <c r="E548" s="30" t="s">
        <v>51</v>
      </c>
      <c r="F548" s="30" t="s">
        <v>130</v>
      </c>
      <c r="G548" s="30" t="s">
        <v>24</v>
      </c>
      <c r="H548" s="30" t="str">
        <f>IFERROR(VLOOKUP(TRIM(IF(ISNUMBER(FIND(",", B548)),LEFT(B548,FIND(",",B548)-1),B548)),master!A:B,2,FALSE),"Belum ada mapping")
</f>
        <v>Banten</v>
      </c>
      <c r="I548" s="30">
        <f>IFERROR(__xludf.DUMMYFUNCTION("IF(REGEXMATCH(F548,""Cari Kerja""),1,0)"),1.0)</f>
        <v>1</v>
      </c>
    </row>
    <row r="549">
      <c r="A549" s="11">
        <v>548.0</v>
      </c>
      <c r="B549" s="30" t="s">
        <v>1206</v>
      </c>
      <c r="C549" s="30" t="s">
        <v>20</v>
      </c>
      <c r="D549" s="30" t="s">
        <v>69</v>
      </c>
      <c r="E549" s="30" t="s">
        <v>51</v>
      </c>
      <c r="F549" s="30" t="s">
        <v>31</v>
      </c>
      <c r="G549" s="30" t="s">
        <v>24</v>
      </c>
      <c r="H549" s="30" t="str">
        <f>IFERROR(VLOOKUP(TRIM(IF(ISNUMBER(FIND(",", B549)),LEFT(B549,FIND(",",B549)-1),B549)),master!A:B,2,FALSE),"Belum ada mapping")
</f>
        <v>Kalimantan Barat</v>
      </c>
      <c r="I549" s="30">
        <f>IFERROR(__xludf.DUMMYFUNCTION("IF(REGEXMATCH(F549,""Cari Kerja""),1,0)"),1.0)</f>
        <v>1</v>
      </c>
    </row>
    <row r="550">
      <c r="A550" s="11">
        <v>549.0</v>
      </c>
      <c r="B550" s="30" t="s">
        <v>492</v>
      </c>
      <c r="C550" s="30" t="s">
        <v>20</v>
      </c>
      <c r="D550" s="30" t="s">
        <v>69</v>
      </c>
      <c r="E550" s="30" t="s">
        <v>82</v>
      </c>
      <c r="F550" s="30" t="s">
        <v>130</v>
      </c>
      <c r="G550" s="30" t="s">
        <v>24</v>
      </c>
      <c r="H550" s="30" t="str">
        <f>IFERROR(VLOOKUP(TRIM(IF(ISNUMBER(FIND(",", B550)),LEFT(B550,FIND(",",B550)-1),B550)),master!A:B,2,FALSE),"Belum ada mapping")
</f>
        <v>Bengkulu</v>
      </c>
      <c r="I550" s="30">
        <f>IFERROR(__xludf.DUMMYFUNCTION("IF(REGEXMATCH(F550,""Cari Kerja""),1,0)"),1.0)</f>
        <v>1</v>
      </c>
    </row>
    <row r="551">
      <c r="A551" s="11">
        <v>550.0</v>
      </c>
      <c r="B551" s="30" t="s">
        <v>2311</v>
      </c>
      <c r="C551" s="30" t="s">
        <v>20</v>
      </c>
      <c r="D551" s="30" t="s">
        <v>2312</v>
      </c>
      <c r="E551" s="30" t="s">
        <v>30</v>
      </c>
      <c r="F551" s="30" t="s">
        <v>130</v>
      </c>
      <c r="G551" s="30" t="s">
        <v>24</v>
      </c>
      <c r="H551" s="30" t="str">
        <f>IFERROR(VLOOKUP(TRIM(IF(ISNUMBER(FIND(",", B551)),LEFT(B551,FIND(",",B551)-1),B551)),master!A:B,2,FALSE),"Belum ada mapping")
</f>
        <v>Jawa Tengah</v>
      </c>
      <c r="I551" s="30">
        <f>IFERROR(__xludf.DUMMYFUNCTION("IF(REGEXMATCH(F551,""Cari Kerja""),1,0)"),1.0)</f>
        <v>1</v>
      </c>
    </row>
    <row r="552">
      <c r="A552" s="11">
        <v>551.0</v>
      </c>
      <c r="B552" s="30" t="s">
        <v>42</v>
      </c>
      <c r="C552" s="30" t="s">
        <v>49</v>
      </c>
      <c r="D552" s="30" t="s">
        <v>2316</v>
      </c>
      <c r="E552" s="30" t="s">
        <v>82</v>
      </c>
      <c r="F552" s="30" t="s">
        <v>52</v>
      </c>
      <c r="G552" s="30" t="s">
        <v>38</v>
      </c>
      <c r="H552" s="30" t="str">
        <f>IFERROR(VLOOKUP(TRIM(IF(ISNUMBER(FIND(",", B552)),LEFT(B552,FIND(",",B552)-1),B552)),master!A:B,2,FALSE),"Belum ada mapping")
</f>
        <v>Jawa Barat</v>
      </c>
      <c r="I552" s="30">
        <f>IFERROR(__xludf.DUMMYFUNCTION("IF(REGEXMATCH(F552,""Cari Kerja""),1,0)"),0.0)</f>
        <v>0</v>
      </c>
    </row>
    <row r="553">
      <c r="A553" s="11">
        <v>552.0</v>
      </c>
      <c r="B553" s="30" t="s">
        <v>1842</v>
      </c>
      <c r="C553" s="30" t="s">
        <v>49</v>
      </c>
      <c r="D553" s="30" t="s">
        <v>2320</v>
      </c>
      <c r="E553" s="30" t="s">
        <v>1082</v>
      </c>
      <c r="F553" s="30" t="s">
        <v>13</v>
      </c>
      <c r="G553" s="30" t="s">
        <v>38</v>
      </c>
      <c r="H553" s="30" t="str">
        <f>IFERROR(VLOOKUP(TRIM(IF(ISNUMBER(FIND(",", B553)),LEFT(B553,FIND(",",B553)-1),B553)),master!A:B,2,FALSE),"Belum ada mapping")
</f>
        <v>Riau</v>
      </c>
      <c r="I553" s="30">
        <f>IFERROR(__xludf.DUMMYFUNCTION("IF(REGEXMATCH(F553,""Cari Kerja""),1,0)"),0.0)</f>
        <v>0</v>
      </c>
    </row>
    <row r="554">
      <c r="A554" s="11">
        <v>553.0</v>
      </c>
      <c r="B554" s="30" t="s">
        <v>92</v>
      </c>
      <c r="C554" s="30" t="s">
        <v>20</v>
      </c>
      <c r="D554" s="30" t="s">
        <v>21</v>
      </c>
      <c r="E554" s="30" t="s">
        <v>51</v>
      </c>
      <c r="F554" s="30" t="s">
        <v>23</v>
      </c>
      <c r="G554" s="30" t="s">
        <v>24</v>
      </c>
      <c r="H554" s="30" t="str">
        <f>IFERROR(VLOOKUP(TRIM(IF(ISNUMBER(FIND(",", B554)),LEFT(B554,FIND(",",B554)-1),B554)),master!A:B,2,FALSE),"Belum ada mapping")
</f>
        <v>Jawa Barat</v>
      </c>
      <c r="I554" s="30">
        <f>IFERROR(__xludf.DUMMYFUNCTION("IF(REGEXMATCH(F554,""Cari Kerja""),1,0)"),1.0)</f>
        <v>1</v>
      </c>
    </row>
    <row r="555">
      <c r="A555" s="11">
        <v>554.0</v>
      </c>
      <c r="B555" s="30" t="s">
        <v>2327</v>
      </c>
      <c r="C555" s="30" t="s">
        <v>20</v>
      </c>
      <c r="D555" s="30" t="s">
        <v>69</v>
      </c>
      <c r="E555" s="30" t="s">
        <v>51</v>
      </c>
      <c r="F555" s="30" t="s">
        <v>23</v>
      </c>
      <c r="G555" s="30" t="s">
        <v>24</v>
      </c>
      <c r="H555" s="30" t="str">
        <f>IFERROR(VLOOKUP(TRIM(IF(ISNUMBER(FIND(",", B555)),LEFT(B555,FIND(",",B555)-1),B555)),master!A:B,2,FALSE),"Belum ada mapping")
</f>
        <v>Sumatera Utara</v>
      </c>
      <c r="I555" s="30">
        <f>IFERROR(__xludf.DUMMYFUNCTION("IF(REGEXMATCH(F555,""Cari Kerja""),1,0)"),1.0)</f>
        <v>1</v>
      </c>
    </row>
    <row r="556">
      <c r="A556" s="11">
        <v>555.0</v>
      </c>
      <c r="B556" s="30" t="s">
        <v>207</v>
      </c>
      <c r="C556" s="30" t="s">
        <v>49</v>
      </c>
      <c r="D556" s="30" t="s">
        <v>2331</v>
      </c>
      <c r="E556" s="30" t="s">
        <v>87</v>
      </c>
      <c r="F556" s="30" t="s">
        <v>31</v>
      </c>
      <c r="G556" s="30" t="s">
        <v>24</v>
      </c>
      <c r="H556" s="30" t="str">
        <f>IFERROR(VLOOKUP(TRIM(IF(ISNUMBER(FIND(",", B556)),LEFT(B556,FIND(",",B556)-1),B556)),master!A:B,2,FALSE),"Belum ada mapping")
</f>
        <v>Jakarta</v>
      </c>
      <c r="I556" s="30">
        <f>IFERROR(__xludf.DUMMYFUNCTION("IF(REGEXMATCH(F556,""Cari Kerja""),1,0)"),1.0)</f>
        <v>1</v>
      </c>
    </row>
    <row r="557">
      <c r="A557" s="11">
        <v>556.0</v>
      </c>
      <c r="B557" s="30" t="s">
        <v>42</v>
      </c>
      <c r="C557" s="30" t="s">
        <v>20</v>
      </c>
      <c r="D557" s="30" t="s">
        <v>2335</v>
      </c>
      <c r="E557" s="30" t="s">
        <v>51</v>
      </c>
      <c r="F557" s="30" t="s">
        <v>31</v>
      </c>
      <c r="G557" s="30" t="s">
        <v>24</v>
      </c>
      <c r="H557" s="30" t="str">
        <f>IFERROR(VLOOKUP(TRIM(IF(ISNUMBER(FIND(",", B557)),LEFT(B557,FIND(",",B557)-1),B557)),master!A:B,2,FALSE),"Belum ada mapping")
</f>
        <v>Jawa Barat</v>
      </c>
      <c r="I557" s="30">
        <f>IFERROR(__xludf.DUMMYFUNCTION("IF(REGEXMATCH(F557,""Cari Kerja""),1,0)"),1.0)</f>
        <v>1</v>
      </c>
    </row>
    <row r="558">
      <c r="A558" s="11">
        <v>557.0</v>
      </c>
      <c r="B558" s="30" t="s">
        <v>207</v>
      </c>
      <c r="C558" s="30" t="s">
        <v>20</v>
      </c>
      <c r="D558" s="30" t="s">
        <v>2339</v>
      </c>
      <c r="E558" s="30" t="s">
        <v>51</v>
      </c>
      <c r="F558" s="30" t="s">
        <v>31</v>
      </c>
      <c r="G558" s="30" t="s">
        <v>38</v>
      </c>
      <c r="H558" s="30" t="str">
        <f>IFERROR(VLOOKUP(TRIM(IF(ISNUMBER(FIND(",", B558)),LEFT(B558,FIND(",",B558)-1),B558)),master!A:B,2,FALSE),"Belum ada mapping")
</f>
        <v>Jakarta</v>
      </c>
      <c r="I558" s="30">
        <f>IFERROR(__xludf.DUMMYFUNCTION("IF(REGEXMATCH(F558,""Cari Kerja""),1,0)"),1.0)</f>
        <v>1</v>
      </c>
    </row>
    <row r="559">
      <c r="A559" s="11">
        <v>558.0</v>
      </c>
      <c r="B559" s="30" t="s">
        <v>2343</v>
      </c>
      <c r="C559" s="30" t="s">
        <v>20</v>
      </c>
      <c r="D559" s="30" t="s">
        <v>2344</v>
      </c>
      <c r="E559" s="30" t="s">
        <v>51</v>
      </c>
      <c r="F559" s="30" t="s">
        <v>23</v>
      </c>
      <c r="G559" s="30" t="s">
        <v>24</v>
      </c>
      <c r="H559" s="30" t="str">
        <f>IFERROR(VLOOKUP(TRIM(IF(ISNUMBER(FIND(",", B559)),LEFT(B559,FIND(",",B559)-1),B559)),master!A:B,2,FALSE),"Belum ada mapping")
</f>
        <v>Kalimantan Tengah </v>
      </c>
      <c r="I559" s="30">
        <f>IFERROR(__xludf.DUMMYFUNCTION("IF(REGEXMATCH(F559,""Cari Kerja""),1,0)"),1.0)</f>
        <v>1</v>
      </c>
    </row>
    <row r="560">
      <c r="A560" s="11">
        <v>559.0</v>
      </c>
      <c r="B560" s="30" t="s">
        <v>2348</v>
      </c>
      <c r="C560" s="30" t="s">
        <v>49</v>
      </c>
      <c r="D560" s="30" t="s">
        <v>149</v>
      </c>
      <c r="E560" s="30" t="s">
        <v>278</v>
      </c>
      <c r="F560" s="30" t="s">
        <v>23</v>
      </c>
      <c r="G560" s="30" t="s">
        <v>24</v>
      </c>
      <c r="H560" s="30" t="str">
        <f>IFERROR(VLOOKUP(TRIM(IF(ISNUMBER(FIND(",", B560)),LEFT(B560,FIND(",",B560)-1),B560)),master!A:B,2,FALSE),"Belum ada mapping")
</f>
        <v>Jawa Timur</v>
      </c>
      <c r="I560" s="30">
        <f>IFERROR(__xludf.DUMMYFUNCTION("IF(REGEXMATCH(F560,""Cari Kerja""),1,0)"),1.0)</f>
        <v>1</v>
      </c>
    </row>
    <row r="561">
      <c r="A561" s="11">
        <v>560.0</v>
      </c>
      <c r="B561" s="30" t="s">
        <v>134</v>
      </c>
      <c r="C561" s="30" t="s">
        <v>20</v>
      </c>
      <c r="D561" s="30" t="s">
        <v>2352</v>
      </c>
      <c r="E561" s="30" t="s">
        <v>51</v>
      </c>
      <c r="F561" s="30" t="s">
        <v>52</v>
      </c>
      <c r="G561" s="30" t="s">
        <v>38</v>
      </c>
      <c r="H561" s="30" t="str">
        <f>IFERROR(VLOOKUP(TRIM(IF(ISNUMBER(FIND(",", B561)),LEFT(B561,FIND(",",B561)-1),B561)),master!A:B,2,FALSE),"Belum ada mapping")
</f>
        <v>Jawa Barat</v>
      </c>
      <c r="I561" s="30">
        <f>IFERROR(__xludf.DUMMYFUNCTION("IF(REGEXMATCH(F561,""Cari Kerja""),1,0)"),0.0)</f>
        <v>0</v>
      </c>
    </row>
    <row r="562">
      <c r="A562" s="11">
        <v>561.0</v>
      </c>
      <c r="B562" s="30" t="s">
        <v>596</v>
      </c>
      <c r="C562" s="30" t="s">
        <v>49</v>
      </c>
      <c r="D562" s="30" t="s">
        <v>2356</v>
      </c>
      <c r="E562" s="30" t="s">
        <v>58</v>
      </c>
      <c r="F562" s="30" t="s">
        <v>59</v>
      </c>
      <c r="G562" s="30" t="s">
        <v>24</v>
      </c>
      <c r="H562" s="30" t="str">
        <f>IFERROR(VLOOKUP(TRIM(IF(ISNUMBER(FIND(",", B562)),LEFT(B562,FIND(",",B562)-1),B562)),master!A:B,2,FALSE),"Belum ada mapping")
</f>
        <v>Jawa Timur</v>
      </c>
      <c r="I562" s="30">
        <f>IFERROR(__xludf.DUMMYFUNCTION("IF(REGEXMATCH(F562,""Cari Kerja""),1,0)"),0.0)</f>
        <v>0</v>
      </c>
    </row>
    <row r="563">
      <c r="A563" s="11">
        <v>562.0</v>
      </c>
      <c r="B563" s="30" t="s">
        <v>1808</v>
      </c>
      <c r="C563" s="30" t="s">
        <v>49</v>
      </c>
      <c r="D563" s="30" t="s">
        <v>2359</v>
      </c>
      <c r="E563" s="30" t="s">
        <v>1407</v>
      </c>
      <c r="F563" s="30" t="s">
        <v>235</v>
      </c>
      <c r="G563" s="30" t="s">
        <v>24</v>
      </c>
      <c r="H563" s="30" t="str">
        <f>IFERROR(VLOOKUP(TRIM(IF(ISNUMBER(FIND(",", B563)),LEFT(B563,FIND(",",B563)-1),B563)),master!A:B,2,FALSE),"Belum ada mapping")
</f>
        <v>Kalimantan Selatan</v>
      </c>
      <c r="I563" s="30">
        <f>IFERROR(__xludf.DUMMYFUNCTION("IF(REGEXMATCH(F563,""Cari Kerja""),1,0)"),1.0)</f>
        <v>1</v>
      </c>
    </row>
    <row r="564">
      <c r="A564" s="11">
        <v>563.0</v>
      </c>
      <c r="B564" s="30" t="s">
        <v>457</v>
      </c>
      <c r="C564" s="30" t="s">
        <v>20</v>
      </c>
      <c r="D564" s="30" t="s">
        <v>21</v>
      </c>
      <c r="E564" s="30" t="s">
        <v>577</v>
      </c>
      <c r="F564" s="30" t="s">
        <v>23</v>
      </c>
      <c r="G564" s="30" t="s">
        <v>24</v>
      </c>
      <c r="H564" s="30" t="str">
        <f>IFERROR(VLOOKUP(TRIM(IF(ISNUMBER(FIND(",", B564)),LEFT(B564,FIND(",",B564)-1),B564)),master!A:B,2,FALSE),"Belum ada mapping")
</f>
        <v>Lampung</v>
      </c>
      <c r="I564" s="30">
        <f>IFERROR(__xludf.DUMMYFUNCTION("IF(REGEXMATCH(F564,""Cari Kerja""),1,0)"),1.0)</f>
        <v>1</v>
      </c>
    </row>
    <row r="565">
      <c r="A565" s="11">
        <v>564.0</v>
      </c>
      <c r="B565" s="30" t="s">
        <v>1701</v>
      </c>
      <c r="C565" s="30" t="s">
        <v>20</v>
      </c>
      <c r="D565" s="30" t="s">
        <v>1745</v>
      </c>
      <c r="E565" s="30" t="s">
        <v>187</v>
      </c>
      <c r="F565" s="30" t="s">
        <v>52</v>
      </c>
      <c r="G565" s="30" t="s">
        <v>24</v>
      </c>
      <c r="H565" s="30" t="str">
        <f>IFERROR(VLOOKUP(TRIM(IF(ISNUMBER(FIND(",", B565)),LEFT(B565,FIND(",",B565)-1),B565)),master!A:B,2,FALSE),"Belum ada mapping")
</f>
        <v>Jawa Tengah</v>
      </c>
      <c r="I565" s="30">
        <f>IFERROR(__xludf.DUMMYFUNCTION("IF(REGEXMATCH(F565,""Cari Kerja""),1,0)"),0.0)</f>
        <v>0</v>
      </c>
    </row>
    <row r="566">
      <c r="A566" s="11">
        <v>565.0</v>
      </c>
      <c r="B566" s="30" t="s">
        <v>207</v>
      </c>
      <c r="C566" s="30" t="s">
        <v>49</v>
      </c>
      <c r="D566" s="30" t="s">
        <v>2369</v>
      </c>
      <c r="E566" s="30" t="s">
        <v>2370</v>
      </c>
      <c r="F566" s="30" t="s">
        <v>52</v>
      </c>
      <c r="G566" s="30" t="s">
        <v>76</v>
      </c>
      <c r="H566" s="30" t="str">
        <f>IFERROR(VLOOKUP(TRIM(IF(ISNUMBER(FIND(",", B566)),LEFT(B566,FIND(",",B566)-1),B566)),master!A:B,2,FALSE),"Belum ada mapping")
</f>
        <v>Jakarta</v>
      </c>
      <c r="I566" s="30">
        <f>IFERROR(__xludf.DUMMYFUNCTION("IF(REGEXMATCH(F566,""Cari Kerja""),1,0)"),0.0)</f>
        <v>0</v>
      </c>
    </row>
    <row r="567">
      <c r="A567" s="11">
        <v>566.0</v>
      </c>
      <c r="B567" s="30" t="s">
        <v>48</v>
      </c>
      <c r="C567" s="30" t="s">
        <v>49</v>
      </c>
      <c r="D567" s="30" t="s">
        <v>2374</v>
      </c>
      <c r="E567" s="30" t="s">
        <v>51</v>
      </c>
      <c r="F567" s="30" t="s">
        <v>12</v>
      </c>
      <c r="G567" s="30" t="s">
        <v>24</v>
      </c>
      <c r="H567" s="30" t="str">
        <f>IFERROR(VLOOKUP(TRIM(IF(ISNUMBER(FIND(",", B567)),LEFT(B567,FIND(",",B567)-1),B567)),master!A:B,2,FALSE),"Belum ada mapping")
</f>
        <v>DI Yogyakarta</v>
      </c>
      <c r="I567" s="30">
        <f>IFERROR(__xludf.DUMMYFUNCTION("IF(REGEXMATCH(F567,""Cari Kerja""),1,0)"),1.0)</f>
        <v>1</v>
      </c>
    </row>
    <row r="568">
      <c r="A568" s="11">
        <v>567.0</v>
      </c>
      <c r="B568" s="30" t="s">
        <v>1132</v>
      </c>
      <c r="C568" s="30" t="s">
        <v>20</v>
      </c>
      <c r="D568" s="30" t="s">
        <v>69</v>
      </c>
      <c r="E568" s="30" t="s">
        <v>51</v>
      </c>
      <c r="F568" s="30" t="s">
        <v>59</v>
      </c>
      <c r="G568" s="30" t="s">
        <v>24</v>
      </c>
      <c r="H568" s="30" t="str">
        <f>IFERROR(VLOOKUP(TRIM(IF(ISNUMBER(FIND(",", B568)),LEFT(B568,FIND(",",B568)-1),B568)),master!A:B,2,FALSE),"Belum ada mapping")
</f>
        <v>Jawa Timur</v>
      </c>
      <c r="I568" s="30">
        <f>IFERROR(__xludf.DUMMYFUNCTION("IF(REGEXMATCH(F568,""Cari Kerja""),1,0)"),0.0)</f>
        <v>0</v>
      </c>
    </row>
    <row r="569">
      <c r="A569" s="11">
        <v>568.0</v>
      </c>
      <c r="B569" s="30" t="s">
        <v>2381</v>
      </c>
      <c r="C569" s="30" t="s">
        <v>20</v>
      </c>
      <c r="D569" s="30" t="s">
        <v>2382</v>
      </c>
      <c r="E569" s="30" t="s">
        <v>439</v>
      </c>
      <c r="F569" s="30" t="s">
        <v>31</v>
      </c>
      <c r="G569" s="30" t="s">
        <v>24</v>
      </c>
      <c r="H569" s="30" t="str">
        <f>IFERROR(VLOOKUP(TRIM(IF(ISNUMBER(FIND(",", B569)),LEFT(B569,FIND(",",B569)-1),B569)),master!A:B,2,FALSE),"Belum ada mapping")
</f>
        <v>Jawa Barat</v>
      </c>
      <c r="I569" s="30">
        <f>IFERROR(__xludf.DUMMYFUNCTION("IF(REGEXMATCH(F569,""Cari Kerja""),1,0)"),1.0)</f>
        <v>1</v>
      </c>
    </row>
    <row r="570">
      <c r="A570" s="11">
        <v>569.0</v>
      </c>
      <c r="B570" s="30" t="s">
        <v>218</v>
      </c>
      <c r="C570" s="30" t="s">
        <v>49</v>
      </c>
      <c r="D570" s="30" t="s">
        <v>2386</v>
      </c>
      <c r="E570" s="30" t="s">
        <v>245</v>
      </c>
      <c r="F570" s="30" t="s">
        <v>52</v>
      </c>
      <c r="G570" s="30" t="s">
        <v>24</v>
      </c>
      <c r="H570" s="30" t="str">
        <f>IFERROR(VLOOKUP(TRIM(IF(ISNUMBER(FIND(",", B570)),LEFT(B570,FIND(",",B570)-1),B570)),master!A:B,2,FALSE),"Belum ada mapping")
</f>
        <v>Banten</v>
      </c>
      <c r="I570" s="30">
        <f>IFERROR(__xludf.DUMMYFUNCTION("IF(REGEXMATCH(F570,""Cari Kerja""),1,0)"),0.0)</f>
        <v>0</v>
      </c>
    </row>
    <row r="571">
      <c r="A571" s="11">
        <v>570.0</v>
      </c>
      <c r="B571" s="30" t="s">
        <v>42</v>
      </c>
      <c r="C571" s="30" t="s">
        <v>49</v>
      </c>
      <c r="D571" s="30" t="s">
        <v>2390</v>
      </c>
      <c r="E571" s="30" t="s">
        <v>51</v>
      </c>
      <c r="F571" s="30" t="s">
        <v>31</v>
      </c>
      <c r="G571" s="30" t="s">
        <v>24</v>
      </c>
      <c r="H571" s="30" t="str">
        <f>IFERROR(VLOOKUP(TRIM(IF(ISNUMBER(FIND(",", B571)),LEFT(B571,FIND(",",B571)-1),B571)),master!A:B,2,FALSE),"Belum ada mapping")
</f>
        <v>Jawa Barat</v>
      </c>
      <c r="I571" s="30">
        <f>IFERROR(__xludf.DUMMYFUNCTION("IF(REGEXMATCH(F571,""Cari Kerja""),1,0)"),1.0)</f>
        <v>1</v>
      </c>
    </row>
    <row r="572">
      <c r="A572" s="11">
        <v>571.0</v>
      </c>
      <c r="B572" s="30" t="s">
        <v>1306</v>
      </c>
      <c r="C572" s="30" t="s">
        <v>49</v>
      </c>
      <c r="D572" s="30" t="s">
        <v>267</v>
      </c>
      <c r="E572" s="30" t="s">
        <v>187</v>
      </c>
      <c r="F572" s="30" t="s">
        <v>23</v>
      </c>
      <c r="G572" s="30" t="s">
        <v>24</v>
      </c>
      <c r="H572" s="30" t="str">
        <f>IFERROR(VLOOKUP(TRIM(IF(ISNUMBER(FIND(",", B572)),LEFT(B572,FIND(",",B572)-1),B572)),master!A:B,2,FALSE),"Belum ada mapping")
</f>
        <v>Jawa Timur</v>
      </c>
      <c r="I572" s="30">
        <f>IFERROR(__xludf.DUMMYFUNCTION("IF(REGEXMATCH(F572,""Cari Kerja""),1,0)"),1.0)</f>
        <v>1</v>
      </c>
    </row>
    <row r="573">
      <c r="A573" s="11">
        <v>572.0</v>
      </c>
      <c r="B573" s="30" t="s">
        <v>2397</v>
      </c>
      <c r="C573" s="30" t="s">
        <v>49</v>
      </c>
      <c r="D573" s="30" t="s">
        <v>149</v>
      </c>
      <c r="E573" s="30" t="s">
        <v>577</v>
      </c>
      <c r="F573" s="30" t="s">
        <v>52</v>
      </c>
      <c r="G573" s="30" t="s">
        <v>24</v>
      </c>
      <c r="H573" s="30" t="str">
        <f>IFERROR(VLOOKUP(TRIM(IF(ISNUMBER(FIND(",", B573)),LEFT(B573,FIND(",",B573)-1),B573)),master!A:B,2,FALSE),"Belum ada mapping")
</f>
        <v>Aceh</v>
      </c>
      <c r="I573" s="30">
        <f>IFERROR(__xludf.DUMMYFUNCTION("IF(REGEXMATCH(F573,""Cari Kerja""),1,0)"),0.0)</f>
        <v>0</v>
      </c>
    </row>
    <row r="574">
      <c r="A574" s="11">
        <v>573.0</v>
      </c>
      <c r="B574" s="30" t="s">
        <v>2401</v>
      </c>
      <c r="C574" s="30" t="s">
        <v>20</v>
      </c>
      <c r="D574" s="30" t="s">
        <v>149</v>
      </c>
      <c r="E574" s="30" t="s">
        <v>87</v>
      </c>
      <c r="F574" s="30" t="s">
        <v>31</v>
      </c>
      <c r="G574" s="30" t="s">
        <v>24</v>
      </c>
      <c r="H574" s="30" t="str">
        <f>IFERROR(VLOOKUP(TRIM(IF(ISNUMBER(FIND(",", B574)),LEFT(B574,FIND(",",B574)-1),B574)),master!A:B,2,FALSE),"Belum ada mapping")
</f>
        <v>Jawa Tengah</v>
      </c>
      <c r="I574" s="30">
        <f>IFERROR(__xludf.DUMMYFUNCTION("IF(REGEXMATCH(F574,""Cari Kerja""),1,0)"),1.0)</f>
        <v>1</v>
      </c>
    </row>
    <row r="575">
      <c r="A575" s="11">
        <v>574.0</v>
      </c>
      <c r="B575" s="30" t="s">
        <v>2405</v>
      </c>
      <c r="C575" s="30" t="s">
        <v>49</v>
      </c>
      <c r="D575" s="30" t="s">
        <v>2316</v>
      </c>
      <c r="E575" s="30" t="s">
        <v>2406</v>
      </c>
      <c r="F575" s="30" t="s">
        <v>31</v>
      </c>
      <c r="G575" s="30" t="s">
        <v>38</v>
      </c>
      <c r="H575" s="30" t="str">
        <f>IFERROR(VLOOKUP(TRIM(IF(ISNUMBER(FIND(",", B575)),LEFT(B575,FIND(",",B575)-1),B575)),master!A:B,2,FALSE),"Belum ada mapping")
</f>
        <v>Jawa Tengah</v>
      </c>
      <c r="I575" s="30">
        <f>IFERROR(__xludf.DUMMYFUNCTION("IF(REGEXMATCH(F575,""Cari Kerja""),1,0)"),1.0)</f>
        <v>1</v>
      </c>
    </row>
    <row r="576">
      <c r="A576" s="11">
        <v>575.0</v>
      </c>
      <c r="B576" s="30" t="s">
        <v>1617</v>
      </c>
      <c r="C576" s="30" t="s">
        <v>49</v>
      </c>
      <c r="D576" s="30" t="s">
        <v>2410</v>
      </c>
      <c r="E576" s="30" t="s">
        <v>51</v>
      </c>
      <c r="F576" s="30" t="s">
        <v>2294</v>
      </c>
      <c r="G576" s="30" t="s">
        <v>24</v>
      </c>
      <c r="H576" s="30" t="str">
        <f>IFERROR(VLOOKUP(TRIM(IF(ISNUMBER(FIND(",", B576)),LEFT(B576,FIND(",",B576)-1),B576)),master!A:B,2,FALSE),"Belum ada mapping")
</f>
        <v>Jakarta</v>
      </c>
      <c r="I576" s="30">
        <f>IFERROR(__xludf.DUMMYFUNCTION("IF(REGEXMATCH(F576,""Cari Kerja""),1,0)"),0.0)</f>
        <v>0</v>
      </c>
    </row>
    <row r="577">
      <c r="A577" s="11">
        <v>576.0</v>
      </c>
      <c r="B577" s="30" t="s">
        <v>92</v>
      </c>
      <c r="C577" s="30" t="s">
        <v>49</v>
      </c>
      <c r="D577" s="30" t="s">
        <v>2414</v>
      </c>
      <c r="E577" s="30" t="s">
        <v>93</v>
      </c>
      <c r="F577" s="30" t="s">
        <v>59</v>
      </c>
      <c r="G577" s="30" t="s">
        <v>76</v>
      </c>
      <c r="H577" s="30" t="str">
        <f>IFERROR(VLOOKUP(TRIM(IF(ISNUMBER(FIND(",", B577)),LEFT(B577,FIND(",",B577)-1),B577)),master!A:B,2,FALSE),"Belum ada mapping")
</f>
        <v>Jawa Barat</v>
      </c>
      <c r="I577" s="30">
        <f>IFERROR(__xludf.DUMMYFUNCTION("IF(REGEXMATCH(F577,""Cari Kerja""),1,0)"),0.0)</f>
        <v>0</v>
      </c>
    </row>
    <row r="578">
      <c r="A578" s="11">
        <v>577.0</v>
      </c>
      <c r="B578" s="30" t="s">
        <v>1151</v>
      </c>
      <c r="C578" s="30" t="s">
        <v>20</v>
      </c>
      <c r="D578" s="30" t="s">
        <v>69</v>
      </c>
      <c r="E578" s="30" t="s">
        <v>187</v>
      </c>
      <c r="F578" s="30" t="s">
        <v>23</v>
      </c>
      <c r="G578" s="30" t="s">
        <v>24</v>
      </c>
      <c r="H578" s="30" t="str">
        <f>IFERROR(VLOOKUP(TRIM(IF(ISNUMBER(FIND(",", B578)),LEFT(B578,FIND(",",B578)-1),B578)),master!A:B,2,FALSE),"Belum ada mapping")
</f>
        <v>Jawa Barat</v>
      </c>
      <c r="I578" s="30">
        <f>IFERROR(__xludf.DUMMYFUNCTION("IF(REGEXMATCH(F578,""Cari Kerja""),1,0)"),1.0)</f>
        <v>1</v>
      </c>
    </row>
    <row r="579">
      <c r="A579" s="11">
        <v>578.0</v>
      </c>
      <c r="B579" s="30" t="s">
        <v>48</v>
      </c>
      <c r="C579" s="30" t="s">
        <v>20</v>
      </c>
      <c r="D579" s="30" t="s">
        <v>267</v>
      </c>
      <c r="E579" s="30" t="s">
        <v>198</v>
      </c>
      <c r="F579" s="30" t="s">
        <v>31</v>
      </c>
      <c r="G579" s="30" t="s">
        <v>24</v>
      </c>
      <c r="H579" s="30" t="str">
        <f>IFERROR(VLOOKUP(TRIM(IF(ISNUMBER(FIND(",", B579)),LEFT(B579,FIND(",",B579)-1),B579)),master!A:B,2,FALSE),"Belum ada mapping")
</f>
        <v>DI Yogyakarta</v>
      </c>
      <c r="I579" s="30">
        <f>IFERROR(__xludf.DUMMYFUNCTION("IF(REGEXMATCH(F579,""Cari Kerja""),1,0)"),1.0)</f>
        <v>1</v>
      </c>
    </row>
    <row r="580">
      <c r="A580" s="11">
        <v>579.0</v>
      </c>
      <c r="B580" s="30" t="s">
        <v>2424</v>
      </c>
      <c r="C580" s="30" t="s">
        <v>49</v>
      </c>
      <c r="D580" s="30" t="s">
        <v>405</v>
      </c>
      <c r="E580" s="30" t="s">
        <v>176</v>
      </c>
      <c r="F580" s="30" t="s">
        <v>12</v>
      </c>
      <c r="G580" s="30" t="s">
        <v>24</v>
      </c>
      <c r="H580" s="30" t="str">
        <f>IFERROR(VLOOKUP(TRIM(IF(ISNUMBER(FIND(",", B580)),LEFT(B580,FIND(",",B580)-1),B580)),master!A:B,2,FALSE),"Belum ada mapping")
</f>
        <v>Sulawesi Selatan</v>
      </c>
      <c r="I580" s="30">
        <f>IFERROR(__xludf.DUMMYFUNCTION("IF(REGEXMATCH(F580,""Cari Kerja""),1,0)"),1.0)</f>
        <v>1</v>
      </c>
    </row>
    <row r="581">
      <c r="A581" s="11">
        <v>580.0</v>
      </c>
      <c r="B581" s="30" t="s">
        <v>551</v>
      </c>
      <c r="C581" s="30" t="s">
        <v>49</v>
      </c>
      <c r="D581" s="30" t="s">
        <v>1312</v>
      </c>
      <c r="E581" s="30" t="s">
        <v>209</v>
      </c>
      <c r="F581" s="30" t="s">
        <v>31</v>
      </c>
      <c r="G581" s="30" t="s">
        <v>24</v>
      </c>
      <c r="H581" s="30" t="str">
        <f>IFERROR(VLOOKUP(TRIM(IF(ISNUMBER(FIND(",", B581)),LEFT(B581,FIND(",",B581)-1),B581)),master!A:B,2,FALSE),"Belum ada mapping")
</f>
        <v>Jawa Barat</v>
      </c>
      <c r="I581" s="30">
        <f>IFERROR(__xludf.DUMMYFUNCTION("IF(REGEXMATCH(F581,""Cari Kerja""),1,0)"),1.0)</f>
        <v>1</v>
      </c>
    </row>
    <row r="582">
      <c r="A582" s="11">
        <v>581.0</v>
      </c>
      <c r="B582" s="30" t="s">
        <v>1440</v>
      </c>
      <c r="C582" s="30" t="s">
        <v>49</v>
      </c>
      <c r="D582" s="30" t="s">
        <v>2431</v>
      </c>
      <c r="E582" s="30" t="s">
        <v>1988</v>
      </c>
      <c r="F582" s="30" t="s">
        <v>59</v>
      </c>
      <c r="G582" s="30" t="s">
        <v>24</v>
      </c>
      <c r="H582" s="30" t="str">
        <f>IFERROR(VLOOKUP(TRIM(IF(ISNUMBER(FIND(",", B582)),LEFT(B582,FIND(",",B582)-1),B582)),master!A:B,2,FALSE),"Belum ada mapping")
</f>
        <v>Sulawesi Tenggara</v>
      </c>
      <c r="I582" s="30">
        <f>IFERROR(__xludf.DUMMYFUNCTION("IF(REGEXMATCH(F582,""Cari Kerja""),1,0)"),0.0)</f>
        <v>0</v>
      </c>
    </row>
    <row r="583">
      <c r="A583" s="11">
        <v>582.0</v>
      </c>
      <c r="B583" s="30" t="s">
        <v>35</v>
      </c>
      <c r="C583" s="30" t="s">
        <v>20</v>
      </c>
      <c r="D583" s="30" t="s">
        <v>21</v>
      </c>
      <c r="E583" s="30" t="s">
        <v>391</v>
      </c>
      <c r="F583" s="30" t="s">
        <v>130</v>
      </c>
      <c r="G583" s="30" t="s">
        <v>24</v>
      </c>
      <c r="H583" s="30" t="str">
        <f>IFERROR(VLOOKUP(TRIM(IF(ISNUMBER(FIND(",", B583)),LEFT(B583,FIND(",",B583)-1),B583)),master!A:B,2,FALSE),"Belum ada mapping")
</f>
        <v>Jawa Timur</v>
      </c>
      <c r="I583" s="30">
        <f>IFERROR(__xludf.DUMMYFUNCTION("IF(REGEXMATCH(F583,""Cari Kerja""),1,0)"),1.0)</f>
        <v>1</v>
      </c>
    </row>
    <row r="584">
      <c r="A584" s="11">
        <v>583.0</v>
      </c>
      <c r="B584" s="30" t="s">
        <v>1067</v>
      </c>
      <c r="C584" s="30" t="s">
        <v>20</v>
      </c>
      <c r="D584" s="30" t="s">
        <v>49</v>
      </c>
      <c r="E584" s="30" t="s">
        <v>391</v>
      </c>
      <c r="F584" s="30" t="s">
        <v>31</v>
      </c>
      <c r="G584" s="30" t="s">
        <v>24</v>
      </c>
      <c r="H584" s="30" t="str">
        <f>IFERROR(VLOOKUP(TRIM(IF(ISNUMBER(FIND(",", B584)),LEFT(B584,FIND(",",B584)-1),B584)),master!A:B,2,FALSE),"Belum ada mapping")
</f>
        <v>Jawa Barat</v>
      </c>
      <c r="I584" s="30">
        <f>IFERROR(__xludf.DUMMYFUNCTION("IF(REGEXMATCH(F584,""Cari Kerja""),1,0)"),1.0)</f>
        <v>1</v>
      </c>
    </row>
    <row r="585">
      <c r="A585" s="11">
        <v>584.0</v>
      </c>
      <c r="B585" s="30" t="s">
        <v>2441</v>
      </c>
      <c r="C585" s="30" t="s">
        <v>20</v>
      </c>
      <c r="D585" s="30" t="s">
        <v>2442</v>
      </c>
      <c r="E585" s="30" t="s">
        <v>153</v>
      </c>
      <c r="F585" s="30" t="s">
        <v>59</v>
      </c>
      <c r="G585" s="30" t="s">
        <v>38</v>
      </c>
      <c r="H585" s="30" t="str">
        <f>IFERROR(VLOOKUP(TRIM(IF(ISNUMBER(FIND(",", B585)),LEFT(B585,FIND(",",B585)-1),B585)),master!A:B,2,FALSE),"Belum ada mapping")
</f>
        <v>Banten</v>
      </c>
      <c r="I585" s="30">
        <f>IFERROR(__xludf.DUMMYFUNCTION("IF(REGEXMATCH(F585,""Cari Kerja""),1,0)"),0.0)</f>
        <v>0</v>
      </c>
    </row>
    <row r="586">
      <c r="A586" s="11">
        <v>585.0</v>
      </c>
      <c r="B586" s="30" t="s">
        <v>1377</v>
      </c>
      <c r="C586" s="30" t="s">
        <v>49</v>
      </c>
      <c r="D586" s="30" t="s">
        <v>2446</v>
      </c>
      <c r="E586" s="30" t="s">
        <v>2447</v>
      </c>
      <c r="F586" s="30" t="s">
        <v>59</v>
      </c>
      <c r="G586" s="30" t="s">
        <v>24</v>
      </c>
      <c r="H586" s="30" t="str">
        <f>IFERROR(VLOOKUP(TRIM(IF(ISNUMBER(FIND(",", B586)),LEFT(B586,FIND(",",B586)-1),B586)),master!A:B,2,FALSE),"Belum ada mapping")
</f>
        <v>Nusa Tenggara Barat</v>
      </c>
      <c r="I586" s="30">
        <f>IFERROR(__xludf.DUMMYFUNCTION("IF(REGEXMATCH(F586,""Cari Kerja""),1,0)"),0.0)</f>
        <v>0</v>
      </c>
    </row>
    <row r="587">
      <c r="A587" s="11">
        <v>586.0</v>
      </c>
      <c r="B587" s="30" t="s">
        <v>2451</v>
      </c>
      <c r="C587" s="30" t="s">
        <v>20</v>
      </c>
      <c r="D587" s="30" t="s">
        <v>29</v>
      </c>
      <c r="E587" s="30" t="s">
        <v>51</v>
      </c>
      <c r="F587" s="30" t="s">
        <v>31</v>
      </c>
      <c r="G587" s="30" t="s">
        <v>24</v>
      </c>
      <c r="H587" s="30" t="str">
        <f>IFERROR(VLOOKUP(TRIM(IF(ISNUMBER(FIND(",", B587)),LEFT(B587,FIND(",",B587)-1),B587)),master!A:B,2,FALSE),"Belum ada mapping")
</f>
        <v>Jambi</v>
      </c>
      <c r="I587" s="30">
        <f>IFERROR(__xludf.DUMMYFUNCTION("IF(REGEXMATCH(F587,""Cari Kerja""),1,0)"),1.0)</f>
        <v>1</v>
      </c>
    </row>
    <row r="588">
      <c r="A588" s="11">
        <v>587.0</v>
      </c>
      <c r="B588" s="30" t="s">
        <v>1625</v>
      </c>
      <c r="C588" s="30" t="s">
        <v>20</v>
      </c>
      <c r="D588" s="30" t="s">
        <v>2455</v>
      </c>
      <c r="E588" s="30" t="s">
        <v>430</v>
      </c>
      <c r="F588" s="30" t="s">
        <v>23</v>
      </c>
      <c r="G588" s="30" t="s">
        <v>24</v>
      </c>
      <c r="H588" s="30" t="str">
        <f>IFERROR(VLOOKUP(TRIM(IF(ISNUMBER(FIND(",", B588)),LEFT(B588,FIND(",",B588)-1),B588)),master!A:B,2,FALSE),"Belum ada mapping")
</f>
        <v>Kalimantan Timur</v>
      </c>
      <c r="I588" s="30">
        <f>IFERROR(__xludf.DUMMYFUNCTION("IF(REGEXMATCH(F588,""Cari Kerja""),1,0)"),1.0)</f>
        <v>1</v>
      </c>
    </row>
    <row r="589">
      <c r="A589" s="11">
        <v>588.0</v>
      </c>
      <c r="B589" s="30" t="s">
        <v>1701</v>
      </c>
      <c r="C589" s="30" t="s">
        <v>20</v>
      </c>
      <c r="D589" s="30" t="s">
        <v>69</v>
      </c>
      <c r="E589" s="30" t="s">
        <v>531</v>
      </c>
      <c r="F589" s="30" t="s">
        <v>130</v>
      </c>
      <c r="G589" s="30" t="s">
        <v>24</v>
      </c>
      <c r="H589" s="30" t="str">
        <f>IFERROR(VLOOKUP(TRIM(IF(ISNUMBER(FIND(",", B589)),LEFT(B589,FIND(",",B589)-1),B589)),master!A:B,2,FALSE),"Belum ada mapping")
</f>
        <v>Jawa Tengah</v>
      </c>
      <c r="I589" s="30">
        <f>IFERROR(__xludf.DUMMYFUNCTION("IF(REGEXMATCH(F589,""Cari Kerja""),1,0)"),1.0)</f>
        <v>1</v>
      </c>
    </row>
    <row r="590">
      <c r="A590" s="11">
        <v>589.0</v>
      </c>
      <c r="B590" s="30" t="s">
        <v>364</v>
      </c>
      <c r="C590" s="30" t="s">
        <v>20</v>
      </c>
      <c r="D590" s="30" t="s">
        <v>69</v>
      </c>
      <c r="E590" s="30" t="s">
        <v>51</v>
      </c>
      <c r="F590" s="30" t="s">
        <v>31</v>
      </c>
      <c r="G590" s="30" t="s">
        <v>24</v>
      </c>
      <c r="H590" s="30" t="str">
        <f>IFERROR(VLOOKUP(TRIM(IF(ISNUMBER(FIND(",", B590)),LEFT(B590,FIND(",",B590)-1),B590)),master!A:B,2,FALSE),"Belum ada mapping")
</f>
        <v>Jakarta</v>
      </c>
      <c r="I590" s="30">
        <f>IFERROR(__xludf.DUMMYFUNCTION("IF(REGEXMATCH(F590,""Cari Kerja""),1,0)"),1.0)</f>
        <v>1</v>
      </c>
    </row>
    <row r="591">
      <c r="A591" s="11">
        <v>590.0</v>
      </c>
      <c r="B591" s="30" t="s">
        <v>1132</v>
      </c>
      <c r="C591" s="30" t="s">
        <v>49</v>
      </c>
      <c r="D591" s="30" t="s">
        <v>2465</v>
      </c>
      <c r="E591" s="30" t="s">
        <v>187</v>
      </c>
      <c r="F591" s="30" t="s">
        <v>31</v>
      </c>
      <c r="G591" s="30" t="s">
        <v>24</v>
      </c>
      <c r="H591" s="30" t="str">
        <f>IFERROR(VLOOKUP(TRIM(IF(ISNUMBER(FIND(",", B591)),LEFT(B591,FIND(",",B591)-1),B591)),master!A:B,2,FALSE),"Belum ada mapping")
</f>
        <v>Jawa Timur</v>
      </c>
      <c r="I591" s="30">
        <f>IFERROR(__xludf.DUMMYFUNCTION("IF(REGEXMATCH(F591,""Cari Kerja""),1,0)"),1.0)</f>
        <v>1</v>
      </c>
    </row>
    <row r="592">
      <c r="A592" s="11">
        <v>591.0</v>
      </c>
      <c r="B592" s="30" t="s">
        <v>151</v>
      </c>
      <c r="C592" s="30" t="s">
        <v>20</v>
      </c>
      <c r="D592" s="30" t="s">
        <v>2469</v>
      </c>
      <c r="E592" s="30" t="s">
        <v>198</v>
      </c>
      <c r="F592" s="30" t="s">
        <v>2294</v>
      </c>
      <c r="G592" s="30" t="s">
        <v>24</v>
      </c>
      <c r="H592" s="30" t="str">
        <f>IFERROR(VLOOKUP(TRIM(IF(ISNUMBER(FIND(",", B592)),LEFT(B592,FIND(",",B592)-1),B592)),master!A:B,2,FALSE),"Belum ada mapping")
</f>
        <v>Riau</v>
      </c>
      <c r="I592" s="30">
        <f>IFERROR(__xludf.DUMMYFUNCTION("IF(REGEXMATCH(F592,""Cari Kerja""),1,0)"),0.0)</f>
        <v>0</v>
      </c>
    </row>
    <row r="593">
      <c r="A593" s="11">
        <v>592.0</v>
      </c>
      <c r="B593" s="30" t="s">
        <v>2473</v>
      </c>
      <c r="C593" s="30" t="s">
        <v>20</v>
      </c>
      <c r="D593" s="30" t="s">
        <v>169</v>
      </c>
      <c r="E593" s="30" t="s">
        <v>51</v>
      </c>
      <c r="F593" s="30" t="s">
        <v>31</v>
      </c>
      <c r="G593" s="30" t="s">
        <v>24</v>
      </c>
      <c r="H593" s="30" t="str">
        <f>IFERROR(VLOOKUP(TRIM(IF(ISNUMBER(FIND(",", B593)),LEFT(B593,FIND(",",B593)-1),B593)),master!A:B,2,FALSE),"Belum ada mapping")
</f>
        <v>Nusa Tenggara Timur</v>
      </c>
      <c r="I593" s="30">
        <f>IFERROR(__xludf.DUMMYFUNCTION("IF(REGEXMATCH(F593,""Cari Kerja""),1,0)"),1.0)</f>
        <v>1</v>
      </c>
    </row>
    <row r="594">
      <c r="A594" s="11">
        <v>593.0</v>
      </c>
      <c r="B594" s="30" t="s">
        <v>457</v>
      </c>
      <c r="C594" s="30" t="s">
        <v>20</v>
      </c>
      <c r="D594" s="30" t="s">
        <v>69</v>
      </c>
      <c r="E594" s="30" t="s">
        <v>51</v>
      </c>
      <c r="F594" s="30" t="s">
        <v>31</v>
      </c>
      <c r="G594" s="30" t="s">
        <v>38</v>
      </c>
      <c r="H594" s="30" t="str">
        <f>IFERROR(VLOOKUP(TRIM(IF(ISNUMBER(FIND(",", B594)),LEFT(B594,FIND(",",B594)-1),B594)),master!A:B,2,FALSE),"Belum ada mapping")
</f>
        <v>Lampung</v>
      </c>
      <c r="I594" s="30">
        <f>IFERROR(__xludf.DUMMYFUNCTION("IF(REGEXMATCH(F594,""Cari Kerja""),1,0)"),1.0)</f>
        <v>1</v>
      </c>
    </row>
    <row r="595">
      <c r="A595" s="11">
        <v>594.0</v>
      </c>
      <c r="B595" s="30" t="s">
        <v>28</v>
      </c>
      <c r="C595" s="30" t="s">
        <v>20</v>
      </c>
      <c r="D595" s="30" t="s">
        <v>720</v>
      </c>
      <c r="E595" s="30" t="s">
        <v>187</v>
      </c>
      <c r="F595" s="30" t="s">
        <v>31</v>
      </c>
      <c r="G595" s="30" t="s">
        <v>24</v>
      </c>
      <c r="H595" s="30" t="str">
        <f>IFERROR(VLOOKUP(TRIM(IF(ISNUMBER(FIND(",", B595)),LEFT(B595,FIND(",",B595)-1),B595)),master!A:B,2,FALSE),"Belum ada mapping")
</f>
        <v>Sumatera Barat</v>
      </c>
      <c r="I595" s="30">
        <f>IFERROR(__xludf.DUMMYFUNCTION("IF(REGEXMATCH(F595,""Cari Kerja""),1,0)"),1.0)</f>
        <v>1</v>
      </c>
    </row>
    <row r="596">
      <c r="A596" s="11">
        <v>595.0</v>
      </c>
      <c r="B596" s="30" t="s">
        <v>461</v>
      </c>
      <c r="C596" s="30" t="s">
        <v>20</v>
      </c>
      <c r="D596" s="30" t="s">
        <v>2483</v>
      </c>
      <c r="E596" s="30" t="s">
        <v>176</v>
      </c>
      <c r="F596" s="30" t="s">
        <v>13</v>
      </c>
      <c r="G596" s="30" t="s">
        <v>24</v>
      </c>
      <c r="H596" s="30" t="str">
        <f>IFERROR(VLOOKUP(TRIM(IF(ISNUMBER(FIND(",", B596)),LEFT(B596,FIND(",",B596)-1),B596)),master!A:B,2,FALSE),"Belum ada mapping")
</f>
        <v>Jakarta</v>
      </c>
      <c r="I596" s="30">
        <f>IFERROR(__xludf.DUMMYFUNCTION("IF(REGEXMATCH(F596,""Cari Kerja""),1,0)"),0.0)</f>
        <v>0</v>
      </c>
    </row>
    <row r="597">
      <c r="A597" s="11">
        <v>596.0</v>
      </c>
      <c r="B597" s="30" t="s">
        <v>596</v>
      </c>
      <c r="C597" s="30" t="s">
        <v>20</v>
      </c>
      <c r="D597" s="30" t="s">
        <v>2487</v>
      </c>
      <c r="E597" s="30" t="s">
        <v>2158</v>
      </c>
      <c r="F597" s="30" t="s">
        <v>31</v>
      </c>
      <c r="G597" s="30" t="s">
        <v>38</v>
      </c>
      <c r="H597" s="30" t="str">
        <f>IFERROR(VLOOKUP(TRIM(IF(ISNUMBER(FIND(",", B597)),LEFT(B597,FIND(",",B597)-1),B597)),master!A:B,2,FALSE),"Belum ada mapping")
</f>
        <v>Jawa Timur</v>
      </c>
      <c r="I597" s="30">
        <f>IFERROR(__xludf.DUMMYFUNCTION("IF(REGEXMATCH(F597,""Cari Kerja""),1,0)"),1.0)</f>
        <v>1</v>
      </c>
    </row>
    <row r="598">
      <c r="A598" s="11">
        <v>597.0</v>
      </c>
      <c r="B598" s="30" t="s">
        <v>2491</v>
      </c>
      <c r="C598" s="30" t="s">
        <v>49</v>
      </c>
      <c r="D598" s="30" t="s">
        <v>69</v>
      </c>
      <c r="E598" s="30" t="s">
        <v>1412</v>
      </c>
      <c r="F598" s="30" t="s">
        <v>23</v>
      </c>
      <c r="G598" s="30" t="s">
        <v>24</v>
      </c>
      <c r="H598" s="30" t="str">
        <f>IFERROR(VLOOKUP(TRIM(IF(ISNUMBER(FIND(",", B598)),LEFT(B598,FIND(",",B598)-1),B598)),master!A:B,2,FALSE),"Belum ada mapping")
</f>
        <v>Jawa Barat</v>
      </c>
      <c r="I598" s="30">
        <f>IFERROR(__xludf.DUMMYFUNCTION("IF(REGEXMATCH(F598,""Cari Kerja""),1,0)"),1.0)</f>
        <v>1</v>
      </c>
    </row>
    <row r="599">
      <c r="A599" s="11">
        <v>598.0</v>
      </c>
      <c r="B599" s="30" t="s">
        <v>2495</v>
      </c>
      <c r="C599" s="30" t="s">
        <v>20</v>
      </c>
      <c r="D599" s="30" t="s">
        <v>2496</v>
      </c>
      <c r="E599" s="30" t="s">
        <v>51</v>
      </c>
      <c r="F599" s="30" t="s">
        <v>31</v>
      </c>
      <c r="G599" s="30" t="s">
        <v>24</v>
      </c>
      <c r="H599" s="30" t="str">
        <f>IFERROR(VLOOKUP(TRIM(IF(ISNUMBER(FIND(",", B599)),LEFT(B599,FIND(",",B599)-1),B599)),master!A:B,2,FALSE),"Belum ada mapping")
</f>
        <v>Sumatera Barat</v>
      </c>
      <c r="I599" s="30">
        <f>IFERROR(__xludf.DUMMYFUNCTION("IF(REGEXMATCH(F599,""Cari Kerja""),1,0)"),1.0)</f>
        <v>1</v>
      </c>
    </row>
    <row r="600">
      <c r="A600" s="11">
        <v>599.0</v>
      </c>
      <c r="B600" s="30" t="s">
        <v>207</v>
      </c>
      <c r="C600" s="30" t="s">
        <v>49</v>
      </c>
      <c r="D600" s="30" t="s">
        <v>2500</v>
      </c>
      <c r="E600" s="30" t="s">
        <v>225</v>
      </c>
      <c r="F600" s="30" t="s">
        <v>59</v>
      </c>
      <c r="G600" s="30" t="s">
        <v>24</v>
      </c>
      <c r="H600" s="30" t="str">
        <f>IFERROR(VLOOKUP(TRIM(IF(ISNUMBER(FIND(",", B600)),LEFT(B600,FIND(",",B600)-1),B600)),master!A:B,2,FALSE),"Belum ada mapping")
</f>
        <v>Jakarta</v>
      </c>
      <c r="I600" s="30">
        <f>IFERROR(__xludf.DUMMYFUNCTION("IF(REGEXMATCH(F600,""Cari Kerja""),1,0)"),0.0)</f>
        <v>0</v>
      </c>
    </row>
    <row r="601">
      <c r="A601" s="11">
        <v>600.0</v>
      </c>
      <c r="B601" s="30" t="s">
        <v>92</v>
      </c>
      <c r="C601" s="30" t="s">
        <v>49</v>
      </c>
      <c r="D601" s="30" t="s">
        <v>69</v>
      </c>
      <c r="E601" s="30" t="s">
        <v>51</v>
      </c>
      <c r="F601" s="30" t="s">
        <v>31</v>
      </c>
      <c r="G601" s="30" t="s">
        <v>24</v>
      </c>
      <c r="H601" s="30" t="str">
        <f>IFERROR(VLOOKUP(TRIM(IF(ISNUMBER(FIND(",", B601)),LEFT(B601,FIND(",",B601)-1),B601)),master!A:B,2,FALSE),"Belum ada mapping")
</f>
        <v>Jawa Barat</v>
      </c>
      <c r="I601" s="30">
        <f>IFERROR(__xludf.DUMMYFUNCTION("IF(REGEXMATCH(F601,""Cari Kerja""),1,0)"),1.0)</f>
        <v>1</v>
      </c>
    </row>
    <row r="602">
      <c r="A602" s="11">
        <v>601.0</v>
      </c>
      <c r="B602" s="30" t="s">
        <v>2507</v>
      </c>
      <c r="C602" s="30" t="s">
        <v>20</v>
      </c>
      <c r="D602" s="30" t="s">
        <v>2508</v>
      </c>
      <c r="E602" s="30" t="s">
        <v>51</v>
      </c>
      <c r="F602" s="30" t="s">
        <v>31</v>
      </c>
      <c r="G602" s="30" t="s">
        <v>24</v>
      </c>
      <c r="H602" s="30" t="str">
        <f>IFERROR(VLOOKUP(TRIM(IF(ISNUMBER(FIND(",", B602)),LEFT(B602,FIND(",",B602)-1),B602)),master!A:B,2,FALSE),"Belum ada mapping")
</f>
        <v>Jawa Tengah</v>
      </c>
      <c r="I602" s="30">
        <f>IFERROR(__xludf.DUMMYFUNCTION("IF(REGEXMATCH(F602,""Cari Kerja""),1,0)"),1.0)</f>
        <v>1</v>
      </c>
    </row>
    <row r="603">
      <c r="A603" s="11">
        <v>602.0</v>
      </c>
      <c r="B603" s="30" t="s">
        <v>42</v>
      </c>
      <c r="C603" s="30" t="s">
        <v>49</v>
      </c>
      <c r="D603" s="30" t="s">
        <v>2512</v>
      </c>
      <c r="E603" s="30" t="s">
        <v>346</v>
      </c>
      <c r="F603" s="30" t="s">
        <v>59</v>
      </c>
      <c r="G603" s="30" t="s">
        <v>24</v>
      </c>
      <c r="H603" s="30" t="str">
        <f>IFERROR(VLOOKUP(TRIM(IF(ISNUMBER(FIND(",", B603)),LEFT(B603,FIND(",",B603)-1),B603)),master!A:B,2,FALSE),"Belum ada mapping")
</f>
        <v>Jawa Barat</v>
      </c>
      <c r="I603" s="30">
        <f>IFERROR(__xludf.DUMMYFUNCTION("IF(REGEXMATCH(F603,""Cari Kerja""),1,0)"),0.0)</f>
        <v>0</v>
      </c>
    </row>
    <row r="604">
      <c r="A604" s="11">
        <v>603.0</v>
      </c>
      <c r="B604" s="30" t="s">
        <v>2491</v>
      </c>
      <c r="C604" s="30" t="s">
        <v>20</v>
      </c>
      <c r="D604" s="30" t="s">
        <v>21</v>
      </c>
      <c r="E604" s="30" t="s">
        <v>51</v>
      </c>
      <c r="F604" s="30" t="s">
        <v>31</v>
      </c>
      <c r="G604" s="30" t="s">
        <v>24</v>
      </c>
      <c r="H604" s="30" t="str">
        <f>IFERROR(VLOOKUP(TRIM(IF(ISNUMBER(FIND(",", B604)),LEFT(B604,FIND(",",B604)-1),B604)),master!A:B,2,FALSE),"Belum ada mapping")
</f>
        <v>Jawa Barat</v>
      </c>
      <c r="I604" s="30">
        <f>IFERROR(__xludf.DUMMYFUNCTION("IF(REGEXMATCH(F604,""Cari Kerja""),1,0)"),1.0)</f>
        <v>1</v>
      </c>
    </row>
    <row r="605">
      <c r="A605" s="11">
        <v>604.0</v>
      </c>
      <c r="B605" s="30" t="s">
        <v>174</v>
      </c>
      <c r="C605" s="30" t="s">
        <v>20</v>
      </c>
      <c r="D605" s="30" t="s">
        <v>2519</v>
      </c>
      <c r="E605" s="30" t="s">
        <v>198</v>
      </c>
      <c r="F605" s="30" t="s">
        <v>59</v>
      </c>
      <c r="G605" s="30" t="s">
        <v>24</v>
      </c>
      <c r="H605" s="30" t="str">
        <f>IFERROR(VLOOKUP(TRIM(IF(ISNUMBER(FIND(",", B605)),LEFT(B605,FIND(",",B605)-1),B605)),master!A:B,2,FALSE),"Belum ada mapping")
</f>
        <v>Jawa Timur</v>
      </c>
      <c r="I605" s="30">
        <f>IFERROR(__xludf.DUMMYFUNCTION("IF(REGEXMATCH(F605,""Cari Kerja""),1,0)"),0.0)</f>
        <v>0</v>
      </c>
    </row>
    <row r="606">
      <c r="A606" s="11">
        <v>605.0</v>
      </c>
      <c r="B606" s="30" t="s">
        <v>1625</v>
      </c>
      <c r="C606" s="30" t="s">
        <v>20</v>
      </c>
      <c r="D606" s="30" t="s">
        <v>2523</v>
      </c>
      <c r="E606" s="30" t="s">
        <v>51</v>
      </c>
      <c r="F606" s="30" t="s">
        <v>130</v>
      </c>
      <c r="G606" s="30" t="s">
        <v>24</v>
      </c>
      <c r="H606" s="30" t="str">
        <f>IFERROR(VLOOKUP(TRIM(IF(ISNUMBER(FIND(",", B606)),LEFT(B606,FIND(",",B606)-1),B606)),master!A:B,2,FALSE),"Belum ada mapping")
</f>
        <v>Kalimantan Timur</v>
      </c>
      <c r="I606" s="30">
        <f>IFERROR(__xludf.DUMMYFUNCTION("IF(REGEXMATCH(F606,""Cari Kerja""),1,0)"),1.0)</f>
        <v>1</v>
      </c>
    </row>
    <row r="607">
      <c r="A607" s="11">
        <v>606.0</v>
      </c>
      <c r="B607" s="30" t="s">
        <v>92</v>
      </c>
      <c r="C607" s="30" t="s">
        <v>20</v>
      </c>
      <c r="D607" s="30" t="s">
        <v>2527</v>
      </c>
      <c r="E607" s="30" t="s">
        <v>51</v>
      </c>
      <c r="F607" s="30" t="s">
        <v>23</v>
      </c>
      <c r="G607" s="30" t="s">
        <v>24</v>
      </c>
      <c r="H607" s="30" t="str">
        <f>IFERROR(VLOOKUP(TRIM(IF(ISNUMBER(FIND(",", B607)),LEFT(B607,FIND(",",B607)-1),B607)),master!A:B,2,FALSE),"Belum ada mapping")
</f>
        <v>Jawa Barat</v>
      </c>
      <c r="I607" s="30">
        <f>IFERROR(__xludf.DUMMYFUNCTION("IF(REGEXMATCH(F607,""Cari Kerja""),1,0)"),1.0)</f>
        <v>1</v>
      </c>
    </row>
    <row r="608">
      <c r="A608" s="11">
        <v>607.0</v>
      </c>
      <c r="B608" s="30" t="s">
        <v>2531</v>
      </c>
      <c r="C608" s="30" t="s">
        <v>49</v>
      </c>
      <c r="D608" s="30" t="s">
        <v>2532</v>
      </c>
      <c r="E608" s="30" t="s">
        <v>51</v>
      </c>
      <c r="F608" s="30" t="s">
        <v>52</v>
      </c>
      <c r="G608" s="30" t="s">
        <v>24</v>
      </c>
      <c r="H608" s="30" t="str">
        <f>IFERROR(VLOOKUP(TRIM(IF(ISNUMBER(FIND(",", B608)),LEFT(B608,FIND(",",B608)-1),B608)),master!A:B,2,FALSE),"Belum ada mapping")
</f>
        <v>Riau</v>
      </c>
      <c r="I608" s="30">
        <f>IFERROR(__xludf.DUMMYFUNCTION("IF(REGEXMATCH(F608,""Cari Kerja""),1,0)"),0.0)</f>
        <v>0</v>
      </c>
    </row>
    <row r="609">
      <c r="A609" s="11">
        <v>608.0</v>
      </c>
      <c r="B609" s="30" t="s">
        <v>19</v>
      </c>
      <c r="C609" s="30" t="s">
        <v>49</v>
      </c>
      <c r="D609" s="30" t="s">
        <v>2536</v>
      </c>
      <c r="E609" s="30" t="s">
        <v>346</v>
      </c>
      <c r="F609" s="30" t="s">
        <v>31</v>
      </c>
      <c r="G609" s="30" t="s">
        <v>24</v>
      </c>
      <c r="H609" s="30" t="str">
        <f>IFERROR(VLOOKUP(TRIM(IF(ISNUMBER(FIND(",", B609)),LEFT(B609,FIND(",",B609)-1),B609)),master!A:B,2,FALSE),"Belum ada mapping")
</f>
        <v>Jawa Tengah</v>
      </c>
      <c r="I609" s="30">
        <f>IFERROR(__xludf.DUMMYFUNCTION("IF(REGEXMATCH(F609,""Cari Kerja""),1,0)"),1.0)</f>
        <v>1</v>
      </c>
    </row>
    <row r="610">
      <c r="A610" s="11">
        <v>609.0</v>
      </c>
      <c r="B610" s="30" t="s">
        <v>1617</v>
      </c>
      <c r="C610" s="30" t="s">
        <v>20</v>
      </c>
      <c r="D610" s="30" t="s">
        <v>2540</v>
      </c>
      <c r="E610" s="30" t="s">
        <v>2541</v>
      </c>
      <c r="F610" s="30" t="s">
        <v>23</v>
      </c>
      <c r="G610" s="30" t="s">
        <v>24</v>
      </c>
      <c r="H610" s="30" t="str">
        <f>IFERROR(VLOOKUP(TRIM(IF(ISNUMBER(FIND(",", B610)),LEFT(B610,FIND(",",B610)-1),B610)),master!A:B,2,FALSE),"Belum ada mapping")
</f>
        <v>Jakarta</v>
      </c>
      <c r="I610" s="30">
        <f>IFERROR(__xludf.DUMMYFUNCTION("IF(REGEXMATCH(F610,""Cari Kerja""),1,0)"),1.0)</f>
        <v>1</v>
      </c>
    </row>
    <row r="611">
      <c r="A611" s="11">
        <v>610.0</v>
      </c>
      <c r="B611" s="30" t="s">
        <v>2545</v>
      </c>
      <c r="C611" s="30" t="s">
        <v>49</v>
      </c>
      <c r="D611" s="30" t="s">
        <v>2546</v>
      </c>
      <c r="E611" s="30" t="s">
        <v>391</v>
      </c>
      <c r="F611" s="30" t="s">
        <v>52</v>
      </c>
      <c r="G611" s="30" t="s">
        <v>24</v>
      </c>
      <c r="H611" s="30" t="str">
        <f>IFERROR(VLOOKUP(TRIM(IF(ISNUMBER(FIND(",", B611)),LEFT(B611,FIND(",",B611)-1),B611)),master!A:B,2,FALSE),"Belum ada mapping")
</f>
        <v>Jawa Barat</v>
      </c>
      <c r="I611" s="30">
        <f>IFERROR(__xludf.DUMMYFUNCTION("IF(REGEXMATCH(F611,""Cari Kerja""),1,0)"),0.0)</f>
        <v>0</v>
      </c>
    </row>
    <row r="612">
      <c r="A612" s="11">
        <v>611.0</v>
      </c>
      <c r="B612" s="30" t="s">
        <v>2550</v>
      </c>
      <c r="C612" s="30" t="s">
        <v>20</v>
      </c>
      <c r="D612" s="30" t="s">
        <v>213</v>
      </c>
      <c r="E612" s="30" t="s">
        <v>1958</v>
      </c>
      <c r="F612" s="30" t="s">
        <v>12</v>
      </c>
      <c r="G612" s="30" t="s">
        <v>76</v>
      </c>
      <c r="H612" s="30" t="str">
        <f>IFERROR(VLOOKUP(TRIM(IF(ISNUMBER(FIND(",", B612)),LEFT(B612,FIND(",",B612)-1),B612)),master!A:B,2,FALSE),"Belum ada mapping")
</f>
        <v>Jambi</v>
      </c>
      <c r="I612" s="30">
        <f>IFERROR(__xludf.DUMMYFUNCTION("IF(REGEXMATCH(F612,""Cari Kerja""),1,0)"),1.0)</f>
        <v>1</v>
      </c>
    </row>
    <row r="613">
      <c r="A613" s="11">
        <v>612.0</v>
      </c>
      <c r="B613" s="30" t="s">
        <v>1710</v>
      </c>
      <c r="C613" s="30" t="s">
        <v>49</v>
      </c>
      <c r="D613" s="30" t="s">
        <v>2554</v>
      </c>
      <c r="E613" s="30" t="s">
        <v>51</v>
      </c>
      <c r="F613" s="30" t="s">
        <v>130</v>
      </c>
      <c r="G613" s="30" t="s">
        <v>24</v>
      </c>
      <c r="H613" s="30" t="str">
        <f>IFERROR(VLOOKUP(TRIM(IF(ISNUMBER(FIND(",", B613)),LEFT(B613,FIND(",",B613)-1),B613)),master!A:B,2,FALSE),"Belum ada mapping")
</f>
        <v>DI Yogyakarta</v>
      </c>
      <c r="I613" s="30">
        <f>IFERROR(__xludf.DUMMYFUNCTION("IF(REGEXMATCH(F613,""Cari Kerja""),1,0)"),1.0)</f>
        <v>1</v>
      </c>
    </row>
    <row r="614">
      <c r="A614" s="11">
        <v>613.0</v>
      </c>
      <c r="B614" s="30" t="s">
        <v>452</v>
      </c>
      <c r="C614" s="30" t="s">
        <v>49</v>
      </c>
      <c r="D614" s="30" t="s">
        <v>2558</v>
      </c>
      <c r="E614" s="30" t="s">
        <v>51</v>
      </c>
      <c r="F614" s="30" t="s">
        <v>31</v>
      </c>
      <c r="G614" s="30" t="s">
        <v>38</v>
      </c>
      <c r="H614" s="30" t="str">
        <f>IFERROR(VLOOKUP(TRIM(IF(ISNUMBER(FIND(",", B614)),LEFT(B614,FIND(",",B614)-1),B614)),master!A:B,2,FALSE),"Belum ada mapping")
</f>
        <v>Sumatera Selatan</v>
      </c>
      <c r="I614" s="30">
        <f>IFERROR(__xludf.DUMMYFUNCTION("IF(REGEXMATCH(F614,""Cari Kerja""),1,0)"),1.0)</f>
        <v>1</v>
      </c>
    </row>
    <row r="615">
      <c r="A615" s="11">
        <v>614.0</v>
      </c>
      <c r="B615" s="30" t="s">
        <v>504</v>
      </c>
      <c r="C615" s="30" t="s">
        <v>49</v>
      </c>
      <c r="D615" s="30" t="s">
        <v>2562</v>
      </c>
      <c r="E615" s="30" t="s">
        <v>51</v>
      </c>
      <c r="F615" s="30" t="s">
        <v>31</v>
      </c>
      <c r="G615" s="30" t="s">
        <v>24</v>
      </c>
      <c r="H615" s="30" t="str">
        <f>IFERROR(VLOOKUP(TRIM(IF(ISNUMBER(FIND(",", B615)),LEFT(B615,FIND(",",B615)-1),B615)),master!A:B,2,FALSE),"Belum ada mapping")
</f>
        <v>Riau</v>
      </c>
      <c r="I615" s="30">
        <f>IFERROR(__xludf.DUMMYFUNCTION("IF(REGEXMATCH(F615,""Cari Kerja""),1,0)"),1.0)</f>
        <v>1</v>
      </c>
    </row>
    <row r="616">
      <c r="A616" s="11">
        <v>615.0</v>
      </c>
      <c r="B616" s="30" t="s">
        <v>504</v>
      </c>
      <c r="C616" s="30" t="s">
        <v>49</v>
      </c>
      <c r="D616" s="30" t="s">
        <v>2564</v>
      </c>
      <c r="E616" s="30" t="s">
        <v>51</v>
      </c>
      <c r="F616" s="30" t="s">
        <v>130</v>
      </c>
      <c r="G616" s="30" t="s">
        <v>24</v>
      </c>
      <c r="H616" s="30" t="str">
        <f>IFERROR(VLOOKUP(TRIM(IF(ISNUMBER(FIND(",", B616)),LEFT(B616,FIND(",",B616)-1),B616)),master!A:B,2,FALSE),"Belum ada mapping")
</f>
        <v>Riau</v>
      </c>
      <c r="I616" s="30">
        <f>IFERROR(__xludf.DUMMYFUNCTION("IF(REGEXMATCH(F616,""Cari Kerja""),1,0)"),1.0)</f>
        <v>1</v>
      </c>
    </row>
    <row r="617">
      <c r="A617" s="11">
        <v>616.0</v>
      </c>
      <c r="B617" s="30" t="s">
        <v>551</v>
      </c>
      <c r="C617" s="30" t="s">
        <v>20</v>
      </c>
      <c r="D617" s="30" t="s">
        <v>21</v>
      </c>
      <c r="E617" s="30" t="s">
        <v>51</v>
      </c>
      <c r="F617" s="30" t="s">
        <v>23</v>
      </c>
      <c r="G617" s="30" t="s">
        <v>24</v>
      </c>
      <c r="H617" s="30" t="str">
        <f>IFERROR(VLOOKUP(TRIM(IF(ISNUMBER(FIND(",", B617)),LEFT(B617,FIND(",",B617)-1),B617)),master!A:B,2,FALSE),"Belum ada mapping")
</f>
        <v>Jawa Barat</v>
      </c>
      <c r="I617" s="30">
        <f>IFERROR(__xludf.DUMMYFUNCTION("IF(REGEXMATCH(F617,""Cari Kerja""),1,0)"),1.0)</f>
        <v>1</v>
      </c>
    </row>
    <row r="618">
      <c r="A618" s="11">
        <v>617.0</v>
      </c>
      <c r="B618" s="30" t="s">
        <v>2571</v>
      </c>
      <c r="C618" s="30" t="s">
        <v>20</v>
      </c>
      <c r="D618" s="30" t="s">
        <v>2572</v>
      </c>
      <c r="E618" s="30" t="s">
        <v>37</v>
      </c>
      <c r="F618" s="30" t="s">
        <v>23</v>
      </c>
      <c r="G618" s="30" t="s">
        <v>24</v>
      </c>
      <c r="H618" s="30" t="str">
        <f>IFERROR(VLOOKUP(TRIM(IF(ISNUMBER(FIND(",", B618)),LEFT(B618,FIND(",",B618)-1),B618)),master!A:B,2,FALSE),"Belum ada mapping")
</f>
        <v>Jawa Barat</v>
      </c>
      <c r="I618" s="30">
        <f>IFERROR(__xludf.DUMMYFUNCTION("IF(REGEXMATCH(F618,""Cari Kerja""),1,0)"),1.0)</f>
        <v>1</v>
      </c>
    </row>
    <row r="619">
      <c r="A619" s="11">
        <v>618.0</v>
      </c>
      <c r="B619" s="30" t="s">
        <v>122</v>
      </c>
      <c r="C619" s="30" t="s">
        <v>49</v>
      </c>
      <c r="D619" s="30" t="s">
        <v>2576</v>
      </c>
      <c r="E619" s="30" t="s">
        <v>2147</v>
      </c>
      <c r="F619" s="30" t="s">
        <v>15</v>
      </c>
      <c r="G619" s="30" t="s">
        <v>24</v>
      </c>
      <c r="H619" s="30" t="str">
        <f>IFERROR(VLOOKUP(TRIM(IF(ISNUMBER(FIND(",", B619)),LEFT(B619,FIND(",",B619)-1),B619)),master!A:B,2,FALSE),"Belum ada mapping")
</f>
        <v>Sulawesi Selatan</v>
      </c>
      <c r="I619" s="30">
        <f>IFERROR(__xludf.DUMMYFUNCTION("IF(REGEXMATCH(F619,""Cari Kerja""),1,0)"),0.0)</f>
        <v>0</v>
      </c>
    </row>
    <row r="620">
      <c r="A620" s="11">
        <v>619.0</v>
      </c>
      <c r="B620" s="30" t="s">
        <v>97</v>
      </c>
      <c r="C620" s="30" t="s">
        <v>49</v>
      </c>
      <c r="D620" s="30" t="s">
        <v>229</v>
      </c>
      <c r="E620" s="30" t="s">
        <v>30</v>
      </c>
      <c r="F620" s="30" t="s">
        <v>31</v>
      </c>
      <c r="G620" s="30" t="s">
        <v>24</v>
      </c>
      <c r="H620" s="30" t="str">
        <f>IFERROR(VLOOKUP(TRIM(IF(ISNUMBER(FIND(",", B620)),LEFT(B620,FIND(",",B620)-1),B620)),master!A:B,2,FALSE),"Belum ada mapping")
</f>
        <v>Jakarta</v>
      </c>
      <c r="I620" s="30">
        <f>IFERROR(__xludf.DUMMYFUNCTION("IF(REGEXMATCH(F620,""Cari Kerja""),1,0)"),1.0)</f>
        <v>1</v>
      </c>
    </row>
    <row r="621">
      <c r="A621" s="11">
        <v>620.0</v>
      </c>
      <c r="B621" s="30" t="s">
        <v>207</v>
      </c>
      <c r="C621" s="30" t="s">
        <v>49</v>
      </c>
      <c r="D621" s="30" t="s">
        <v>2583</v>
      </c>
      <c r="E621" s="30" t="s">
        <v>1456</v>
      </c>
      <c r="F621" s="30" t="s">
        <v>31</v>
      </c>
      <c r="G621" s="30" t="s">
        <v>24</v>
      </c>
      <c r="H621" s="30" t="str">
        <f>IFERROR(VLOOKUP(TRIM(IF(ISNUMBER(FIND(",", B621)),LEFT(B621,FIND(",",B621)-1),B621)),master!A:B,2,FALSE),"Belum ada mapping")
</f>
        <v>Jakarta</v>
      </c>
      <c r="I621" s="30">
        <f>IFERROR(__xludf.DUMMYFUNCTION("IF(REGEXMATCH(F621,""Cari Kerja""),1,0)"),1.0)</f>
        <v>1</v>
      </c>
    </row>
    <row r="622">
      <c r="A622" s="11">
        <v>621.0</v>
      </c>
      <c r="B622" s="30" t="s">
        <v>207</v>
      </c>
      <c r="C622" s="30" t="s">
        <v>49</v>
      </c>
      <c r="D622" s="30" t="s">
        <v>2587</v>
      </c>
      <c r="E622" s="30" t="s">
        <v>1601</v>
      </c>
      <c r="F622" s="30" t="s">
        <v>31</v>
      </c>
      <c r="G622" s="30" t="s">
        <v>24</v>
      </c>
      <c r="H622" s="30" t="str">
        <f>IFERROR(VLOOKUP(TRIM(IF(ISNUMBER(FIND(",", B622)),LEFT(B622,FIND(",",B622)-1),B622)),master!A:B,2,FALSE),"Belum ada mapping")
</f>
        <v>Jakarta</v>
      </c>
      <c r="I622" s="30">
        <f>IFERROR(__xludf.DUMMYFUNCTION("IF(REGEXMATCH(F622,""Cari Kerja""),1,0)"),1.0)</f>
        <v>1</v>
      </c>
    </row>
    <row r="623">
      <c r="A623" s="11">
        <v>622.0</v>
      </c>
      <c r="B623" s="30" t="s">
        <v>1617</v>
      </c>
      <c r="C623" s="30" t="s">
        <v>49</v>
      </c>
      <c r="D623" s="30" t="s">
        <v>2591</v>
      </c>
      <c r="E623" s="30" t="s">
        <v>2592</v>
      </c>
      <c r="F623" s="30" t="s">
        <v>31</v>
      </c>
      <c r="G623" s="30" t="s">
        <v>24</v>
      </c>
      <c r="H623" s="30" t="str">
        <f>IFERROR(VLOOKUP(TRIM(IF(ISNUMBER(FIND(",", B623)),LEFT(B623,FIND(",",B623)-1),B623)),master!A:B,2,FALSE),"Belum ada mapping")
</f>
        <v>Jakarta</v>
      </c>
      <c r="I623" s="30">
        <f>IFERROR(__xludf.DUMMYFUNCTION("IF(REGEXMATCH(F623,""Cari Kerja""),1,0)"),1.0)</f>
        <v>1</v>
      </c>
    </row>
    <row r="624">
      <c r="A624" s="11">
        <v>623.0</v>
      </c>
      <c r="B624" s="30" t="s">
        <v>1440</v>
      </c>
      <c r="C624" s="30" t="s">
        <v>20</v>
      </c>
      <c r="D624" s="30" t="s">
        <v>910</v>
      </c>
      <c r="E624" s="30" t="s">
        <v>51</v>
      </c>
      <c r="F624" s="30" t="s">
        <v>13</v>
      </c>
      <c r="G624" s="30" t="s">
        <v>24</v>
      </c>
      <c r="H624" s="30" t="str">
        <f>IFERROR(VLOOKUP(TRIM(IF(ISNUMBER(FIND(",", B624)),LEFT(B624,FIND(",",B624)-1),B624)),master!A:B,2,FALSE),"Belum ada mapping")
</f>
        <v>Sulawesi Tenggara</v>
      </c>
      <c r="I624" s="30">
        <f>IFERROR(__xludf.DUMMYFUNCTION("IF(REGEXMATCH(F624,""Cari Kerja""),1,0)"),0.0)</f>
        <v>0</v>
      </c>
    </row>
    <row r="625">
      <c r="A625" s="11">
        <v>624.0</v>
      </c>
      <c r="B625" s="30" t="s">
        <v>113</v>
      </c>
      <c r="C625" s="30" t="s">
        <v>20</v>
      </c>
      <c r="D625" s="30" t="s">
        <v>2316</v>
      </c>
      <c r="E625" s="30" t="s">
        <v>2599</v>
      </c>
      <c r="F625" s="30" t="s">
        <v>13</v>
      </c>
      <c r="G625" s="30" t="s">
        <v>24</v>
      </c>
      <c r="H625" s="30" t="str">
        <f>IFERROR(VLOOKUP(TRIM(IF(ISNUMBER(FIND(",", B625)),LEFT(B625,FIND(",",B625)-1),B625)),master!A:B,2,FALSE),"Belum ada mapping")
</f>
        <v>Sumatera Utara</v>
      </c>
      <c r="I625" s="30">
        <f>IFERROR(__xludf.DUMMYFUNCTION("IF(REGEXMATCH(F625,""Cari Kerja""),1,0)"),0.0)</f>
        <v>0</v>
      </c>
    </row>
    <row r="626">
      <c r="A626" s="11">
        <v>625.0</v>
      </c>
      <c r="B626" s="30" t="s">
        <v>1617</v>
      </c>
      <c r="C626" s="30" t="s">
        <v>49</v>
      </c>
      <c r="D626" s="30" t="s">
        <v>867</v>
      </c>
      <c r="E626" s="30" t="s">
        <v>51</v>
      </c>
      <c r="F626" s="30" t="s">
        <v>13</v>
      </c>
      <c r="G626" s="30" t="s">
        <v>24</v>
      </c>
      <c r="H626" s="30" t="str">
        <f>IFERROR(VLOOKUP(TRIM(IF(ISNUMBER(FIND(",", B626)),LEFT(B626,FIND(",",B626)-1),B626)),master!A:B,2,FALSE),"Belum ada mapping")
</f>
        <v>Jakarta</v>
      </c>
      <c r="I626" s="30">
        <f>IFERROR(__xludf.DUMMYFUNCTION("IF(REGEXMATCH(F626,""Cari Kerja""),1,0)"),0.0)</f>
        <v>0</v>
      </c>
    </row>
    <row r="627">
      <c r="A627" s="11">
        <v>626.0</v>
      </c>
      <c r="B627" s="30" t="s">
        <v>92</v>
      </c>
      <c r="C627" s="30" t="s">
        <v>49</v>
      </c>
      <c r="D627" s="30" t="s">
        <v>2606</v>
      </c>
      <c r="E627" s="30" t="s">
        <v>2607</v>
      </c>
      <c r="F627" s="30" t="s">
        <v>23</v>
      </c>
      <c r="G627" s="30" t="s">
        <v>24</v>
      </c>
      <c r="H627" s="30" t="str">
        <f>IFERROR(VLOOKUP(TRIM(IF(ISNUMBER(FIND(",", B627)),LEFT(B627,FIND(",",B627)-1),B627)),master!A:B,2,FALSE),"Belum ada mapping")
</f>
        <v>Jawa Barat</v>
      </c>
      <c r="I627" s="30">
        <f>IFERROR(__xludf.DUMMYFUNCTION("IF(REGEXMATCH(F627,""Cari Kerja""),1,0)"),1.0)</f>
        <v>1</v>
      </c>
    </row>
    <row r="628">
      <c r="A628" s="11">
        <v>627.0</v>
      </c>
      <c r="B628" s="30" t="s">
        <v>185</v>
      </c>
      <c r="C628" s="30" t="s">
        <v>49</v>
      </c>
      <c r="D628" s="30" t="s">
        <v>2611</v>
      </c>
      <c r="E628" s="30" t="s">
        <v>430</v>
      </c>
      <c r="F628" s="30" t="s">
        <v>59</v>
      </c>
      <c r="G628" s="30" t="s">
        <v>24</v>
      </c>
      <c r="H628" s="30" t="str">
        <f>IFERROR(VLOOKUP(TRIM(IF(ISNUMBER(FIND(",", B628)),LEFT(B628,FIND(",",B628)-1),B628)),master!A:B,2,FALSE),"Belum ada mapping")
</f>
        <v>Jakarta</v>
      </c>
      <c r="I628" s="30">
        <f>IFERROR(__xludf.DUMMYFUNCTION("IF(REGEXMATCH(F628,""Cari Kerja""),1,0)"),0.0)</f>
        <v>0</v>
      </c>
    </row>
    <row r="629">
      <c r="A629" s="11">
        <v>628.0</v>
      </c>
      <c r="B629" s="30" t="s">
        <v>2615</v>
      </c>
      <c r="C629" s="30" t="s">
        <v>20</v>
      </c>
      <c r="D629" s="30" t="s">
        <v>656</v>
      </c>
      <c r="E629" s="30" t="s">
        <v>51</v>
      </c>
      <c r="F629" s="30" t="s">
        <v>23</v>
      </c>
      <c r="G629" s="30" t="s">
        <v>24</v>
      </c>
      <c r="H629" s="30" t="str">
        <f>IFERROR(VLOOKUP(TRIM(IF(ISNUMBER(FIND(",", B629)),LEFT(B629,FIND(",",B629)-1),B629)),master!A:B,2,FALSE),"Belum ada mapping")
</f>
        <v>Sumatera Barat</v>
      </c>
      <c r="I629" s="30">
        <f>IFERROR(__xludf.DUMMYFUNCTION("IF(REGEXMATCH(F629,""Cari Kerja""),1,0)"),1.0)</f>
        <v>1</v>
      </c>
    </row>
    <row r="630">
      <c r="A630" s="11">
        <v>629.0</v>
      </c>
      <c r="B630" s="30" t="s">
        <v>207</v>
      </c>
      <c r="C630" s="30" t="s">
        <v>20</v>
      </c>
      <c r="D630" s="30" t="s">
        <v>369</v>
      </c>
      <c r="E630" s="30" t="s">
        <v>2619</v>
      </c>
      <c r="F630" s="30" t="s">
        <v>59</v>
      </c>
      <c r="G630" s="30" t="s">
        <v>24</v>
      </c>
      <c r="H630" s="30" t="str">
        <f>IFERROR(VLOOKUP(TRIM(IF(ISNUMBER(FIND(",", B630)),LEFT(B630,FIND(",",B630)-1),B630)),master!A:B,2,FALSE),"Belum ada mapping")
</f>
        <v>Jakarta</v>
      </c>
      <c r="I630" s="30">
        <f>IFERROR(__xludf.DUMMYFUNCTION("IF(REGEXMATCH(F630,""Cari Kerja""),1,0)"),0.0)</f>
        <v>0</v>
      </c>
    </row>
    <row r="631">
      <c r="A631" s="11">
        <v>630.0</v>
      </c>
      <c r="B631" s="30" t="s">
        <v>344</v>
      </c>
      <c r="C631" s="30" t="s">
        <v>49</v>
      </c>
      <c r="D631" s="30" t="s">
        <v>2623</v>
      </c>
      <c r="E631" s="30" t="s">
        <v>51</v>
      </c>
      <c r="F631" s="30" t="s">
        <v>31</v>
      </c>
      <c r="G631" s="30" t="s">
        <v>24</v>
      </c>
      <c r="H631" s="30" t="str">
        <f>IFERROR(VLOOKUP(TRIM(IF(ISNUMBER(FIND(",", B631)),LEFT(B631,FIND(",",B631)-1),B631)),master!A:B,2,FALSE),"Belum ada mapping")
</f>
        <v>Jawa Timur</v>
      </c>
      <c r="I631" s="30">
        <f>IFERROR(__xludf.DUMMYFUNCTION("IF(REGEXMATCH(F631,""Cari Kerja""),1,0)"),1.0)</f>
        <v>1</v>
      </c>
    </row>
    <row r="632">
      <c r="A632" s="11">
        <v>631.0</v>
      </c>
      <c r="B632" s="30" t="s">
        <v>1484</v>
      </c>
      <c r="C632" s="30" t="s">
        <v>49</v>
      </c>
      <c r="D632" s="30" t="s">
        <v>2627</v>
      </c>
      <c r="E632" s="30" t="s">
        <v>2628</v>
      </c>
      <c r="F632" s="30" t="s">
        <v>23</v>
      </c>
      <c r="G632" s="30" t="s">
        <v>24</v>
      </c>
      <c r="H632" s="30" t="str">
        <f>IFERROR(VLOOKUP(TRIM(IF(ISNUMBER(FIND(",", B632)),LEFT(B632,FIND(",",B632)-1),B632)),master!A:B,2,FALSE),"Belum ada mapping")
</f>
        <v>Jawa Timur</v>
      </c>
      <c r="I632" s="30">
        <f>IFERROR(__xludf.DUMMYFUNCTION("IF(REGEXMATCH(F632,""Cari Kerja""),1,0)"),1.0)</f>
        <v>1</v>
      </c>
    </row>
    <row r="633">
      <c r="A633" s="11">
        <v>632.0</v>
      </c>
      <c r="B633" s="30" t="s">
        <v>2244</v>
      </c>
      <c r="C633" s="30" t="s">
        <v>20</v>
      </c>
      <c r="D633" s="30" t="s">
        <v>2632</v>
      </c>
      <c r="E633" s="30" t="s">
        <v>51</v>
      </c>
      <c r="F633" s="30" t="s">
        <v>31</v>
      </c>
      <c r="G633" s="30" t="s">
        <v>24</v>
      </c>
      <c r="H633" s="30" t="str">
        <f>IFERROR(VLOOKUP(TRIM(IF(ISNUMBER(FIND(",", B633)),LEFT(B633,FIND(",",B633)-1),B633)),master!A:B,2,FALSE),"Belum ada mapping")
</f>
        <v>Jawa Barat</v>
      </c>
      <c r="I633" s="30">
        <f>IFERROR(__xludf.DUMMYFUNCTION("IF(REGEXMATCH(F633,""Cari Kerja""),1,0)"),1.0)</f>
        <v>1</v>
      </c>
    </row>
    <row r="634">
      <c r="A634" s="11">
        <v>633.0</v>
      </c>
      <c r="B634" s="30" t="s">
        <v>207</v>
      </c>
      <c r="C634" s="30" t="s">
        <v>20</v>
      </c>
      <c r="D634" s="30" t="s">
        <v>69</v>
      </c>
      <c r="E634" s="30" t="s">
        <v>51</v>
      </c>
      <c r="F634" s="30" t="s">
        <v>23</v>
      </c>
      <c r="G634" s="30" t="s">
        <v>24</v>
      </c>
      <c r="H634" s="30" t="str">
        <f>IFERROR(VLOOKUP(TRIM(IF(ISNUMBER(FIND(",", B634)),LEFT(B634,FIND(",",B634)-1),B634)),master!A:B,2,FALSE),"Belum ada mapping")
</f>
        <v>Jakarta</v>
      </c>
      <c r="I634" s="30">
        <f>IFERROR(__xludf.DUMMYFUNCTION("IF(REGEXMATCH(F634,""Cari Kerja""),1,0)"),1.0)</f>
        <v>1</v>
      </c>
    </row>
    <row r="635">
      <c r="A635" s="11">
        <v>634.0</v>
      </c>
      <c r="B635" s="30" t="s">
        <v>42</v>
      </c>
      <c r="C635" s="30" t="s">
        <v>49</v>
      </c>
      <c r="D635" s="30" t="s">
        <v>2639</v>
      </c>
      <c r="E635" s="30" t="s">
        <v>51</v>
      </c>
      <c r="F635" s="30" t="s">
        <v>59</v>
      </c>
      <c r="G635" s="30" t="s">
        <v>24</v>
      </c>
      <c r="H635" s="30" t="str">
        <f>IFERROR(VLOOKUP(TRIM(IF(ISNUMBER(FIND(",", B635)),LEFT(B635,FIND(",",B635)-1),B635)),master!A:B,2,FALSE),"Belum ada mapping")
</f>
        <v>Jawa Barat</v>
      </c>
      <c r="I635" s="30">
        <f>IFERROR(__xludf.DUMMYFUNCTION("IF(REGEXMATCH(F635,""Cari Kerja""),1,0)"),0.0)</f>
        <v>0</v>
      </c>
    </row>
    <row r="636">
      <c r="A636" s="11">
        <v>635.0</v>
      </c>
      <c r="B636" s="30" t="s">
        <v>484</v>
      </c>
      <c r="C636" s="30" t="s">
        <v>49</v>
      </c>
      <c r="D636" s="30" t="s">
        <v>2643</v>
      </c>
      <c r="E636" s="30" t="s">
        <v>315</v>
      </c>
      <c r="F636" s="30" t="s">
        <v>23</v>
      </c>
      <c r="G636" s="30" t="s">
        <v>24</v>
      </c>
      <c r="H636" s="30" t="str">
        <f>IFERROR(VLOOKUP(TRIM(IF(ISNUMBER(FIND(",", B636)),LEFT(B636,FIND(",",B636)-1),B636)),master!A:B,2,FALSE),"Belum ada mapping")
</f>
        <v>Jawa Tengah</v>
      </c>
      <c r="I636" s="30">
        <f>IFERROR(__xludf.DUMMYFUNCTION("IF(REGEXMATCH(F636,""Cari Kerja""),1,0)"),1.0)</f>
        <v>1</v>
      </c>
    </row>
    <row r="637">
      <c r="A637" s="11">
        <v>636.0</v>
      </c>
      <c r="B637" s="30" t="s">
        <v>2252</v>
      </c>
      <c r="C637" s="30" t="s">
        <v>20</v>
      </c>
      <c r="D637" s="30" t="s">
        <v>21</v>
      </c>
      <c r="E637" s="30" t="s">
        <v>51</v>
      </c>
      <c r="F637" s="30" t="s">
        <v>31</v>
      </c>
      <c r="G637" s="30" t="s">
        <v>24</v>
      </c>
      <c r="H637" s="30" t="str">
        <f>IFERROR(VLOOKUP(TRIM(IF(ISNUMBER(FIND(",", B637)),LEFT(B637,FIND(",",B637)-1),B637)),master!A:B,2,FALSE),"Belum ada mapping")
</f>
        <v>Bengkulu</v>
      </c>
      <c r="I637" s="30">
        <f>IFERROR(__xludf.DUMMYFUNCTION("IF(REGEXMATCH(F637,""Cari Kerja""),1,0)"),1.0)</f>
        <v>1</v>
      </c>
    </row>
    <row r="638">
      <c r="A638" s="11">
        <v>637.0</v>
      </c>
      <c r="B638" s="30" t="s">
        <v>2183</v>
      </c>
      <c r="C638" s="30" t="s">
        <v>20</v>
      </c>
      <c r="D638" s="30" t="s">
        <v>1068</v>
      </c>
      <c r="E638" s="30" t="s">
        <v>176</v>
      </c>
      <c r="F638" s="30" t="s">
        <v>13</v>
      </c>
      <c r="G638" s="30" t="s">
        <v>24</v>
      </c>
      <c r="H638" s="30" t="str">
        <f>IFERROR(VLOOKUP(TRIM(IF(ISNUMBER(FIND(",", B638)),LEFT(B638,FIND(",",B638)-1),B638)),master!A:B,2,FALSE),"Belum ada mapping")
</f>
        <v>Jawa Barat</v>
      </c>
      <c r="I638" s="30">
        <f>IFERROR(__xludf.DUMMYFUNCTION("IF(REGEXMATCH(F638,""Cari Kerja""),1,0)"),0.0)</f>
        <v>0</v>
      </c>
    </row>
    <row r="639">
      <c r="A639" s="11">
        <v>638.0</v>
      </c>
      <c r="B639" s="30" t="s">
        <v>92</v>
      </c>
      <c r="C639" s="30" t="s">
        <v>20</v>
      </c>
      <c r="D639" s="30" t="s">
        <v>2653</v>
      </c>
      <c r="E639" s="30" t="s">
        <v>391</v>
      </c>
      <c r="F639" s="30" t="s">
        <v>109</v>
      </c>
      <c r="G639" s="30" t="s">
        <v>38</v>
      </c>
      <c r="H639" s="30" t="str">
        <f>IFERROR(VLOOKUP(TRIM(IF(ISNUMBER(FIND(",", B639)),LEFT(B639,FIND(",",B639)-1),B639)),master!A:B,2,FALSE),"Belum ada mapping")
</f>
        <v>Jawa Barat</v>
      </c>
      <c r="I639" s="30">
        <f>IFERROR(__xludf.DUMMYFUNCTION("IF(REGEXMATCH(F639,""Cari Kerja""),1,0)"),1.0)</f>
        <v>1</v>
      </c>
    </row>
    <row r="640">
      <c r="A640" s="11">
        <v>639.0</v>
      </c>
      <c r="B640" s="30" t="s">
        <v>48</v>
      </c>
      <c r="C640" s="30" t="s">
        <v>49</v>
      </c>
      <c r="D640" s="30" t="s">
        <v>21</v>
      </c>
      <c r="E640" s="30" t="s">
        <v>187</v>
      </c>
      <c r="F640" s="30" t="s">
        <v>23</v>
      </c>
      <c r="G640" s="30" t="s">
        <v>38</v>
      </c>
      <c r="H640" s="30" t="str">
        <f>IFERROR(VLOOKUP(TRIM(IF(ISNUMBER(FIND(",", B640)),LEFT(B640,FIND(",",B640)-1),B640)),master!A:B,2,FALSE),"Belum ada mapping")
</f>
        <v>DI Yogyakarta</v>
      </c>
      <c r="I640" s="30">
        <f>IFERROR(__xludf.DUMMYFUNCTION("IF(REGEXMATCH(F640,""Cari Kerja""),1,0)"),1.0)</f>
        <v>1</v>
      </c>
    </row>
    <row r="641">
      <c r="A641" s="11">
        <v>640.0</v>
      </c>
      <c r="B641" s="30" t="s">
        <v>92</v>
      </c>
      <c r="C641" s="30" t="s">
        <v>49</v>
      </c>
      <c r="D641" s="30" t="s">
        <v>2657</v>
      </c>
      <c r="E641" s="30" t="s">
        <v>51</v>
      </c>
      <c r="F641" s="30" t="s">
        <v>31</v>
      </c>
      <c r="G641" s="30" t="s">
        <v>24</v>
      </c>
      <c r="H641" s="30" t="str">
        <f>IFERROR(VLOOKUP(TRIM(IF(ISNUMBER(FIND(",", B641)),LEFT(B641,FIND(",",B641)-1),B641)),master!A:B,2,FALSE),"Belum ada mapping")
</f>
        <v>Jawa Barat</v>
      </c>
      <c r="I641" s="30">
        <f>IFERROR(__xludf.DUMMYFUNCTION("IF(REGEXMATCH(F641,""Cari Kerja""),1,0)"),1.0)</f>
        <v>1</v>
      </c>
    </row>
    <row r="642">
      <c r="A642" s="11">
        <v>641.0</v>
      </c>
      <c r="B642" s="30" t="s">
        <v>249</v>
      </c>
      <c r="C642" s="30" t="s">
        <v>49</v>
      </c>
      <c r="D642" s="30" t="s">
        <v>2661</v>
      </c>
      <c r="E642" s="30" t="s">
        <v>51</v>
      </c>
      <c r="F642" s="30" t="s">
        <v>31</v>
      </c>
      <c r="G642" s="30" t="s">
        <v>24</v>
      </c>
      <c r="H642" s="30" t="str">
        <f>IFERROR(VLOOKUP(TRIM(IF(ISNUMBER(FIND(",", B642)),LEFT(B642,FIND(",",B642)-1),B642)),master!A:B,2,FALSE),"Belum ada mapping")
</f>
        <v>Jambi</v>
      </c>
      <c r="I642" s="30">
        <f>IFERROR(__xludf.DUMMYFUNCTION("IF(REGEXMATCH(F642,""Cari Kerja""),1,0)"),1.0)</f>
        <v>1</v>
      </c>
    </row>
    <row r="643">
      <c r="A643" s="11">
        <v>642.0</v>
      </c>
      <c r="B643" s="30" t="s">
        <v>42</v>
      </c>
      <c r="C643" s="30" t="s">
        <v>20</v>
      </c>
      <c r="D643" s="30" t="s">
        <v>2665</v>
      </c>
      <c r="E643" s="30" t="s">
        <v>225</v>
      </c>
      <c r="F643" s="30" t="s">
        <v>13</v>
      </c>
      <c r="G643" s="30" t="s">
        <v>24</v>
      </c>
      <c r="H643" s="30" t="str">
        <f>IFERROR(VLOOKUP(TRIM(IF(ISNUMBER(FIND(",", B643)),LEFT(B643,FIND(",",B643)-1),B643)),master!A:B,2,FALSE),"Belum ada mapping")
</f>
        <v>Jawa Barat</v>
      </c>
      <c r="I643" s="30">
        <f>IFERROR(__xludf.DUMMYFUNCTION("IF(REGEXMATCH(F643,""Cari Kerja""),1,0)"),0.0)</f>
        <v>0</v>
      </c>
    </row>
    <row r="644">
      <c r="A644" s="11">
        <v>643.0</v>
      </c>
      <c r="B644" s="30" t="s">
        <v>48</v>
      </c>
      <c r="C644" s="30" t="s">
        <v>49</v>
      </c>
      <c r="D644" s="30" t="s">
        <v>2669</v>
      </c>
      <c r="E644" s="30" t="s">
        <v>709</v>
      </c>
      <c r="F644" s="30" t="s">
        <v>52</v>
      </c>
      <c r="G644" s="30" t="s">
        <v>24</v>
      </c>
      <c r="H644" s="30" t="str">
        <f>IFERROR(VLOOKUP(TRIM(IF(ISNUMBER(FIND(",", B644)),LEFT(B644,FIND(",",B644)-1),B644)),master!A:B,2,FALSE),"Belum ada mapping")
</f>
        <v>DI Yogyakarta</v>
      </c>
      <c r="I644" s="30">
        <f>IFERROR(__xludf.DUMMYFUNCTION("IF(REGEXMATCH(F644,""Cari Kerja""),1,0)"),0.0)</f>
        <v>0</v>
      </c>
    </row>
    <row r="645">
      <c r="A645" s="11">
        <v>644.0</v>
      </c>
      <c r="B645" s="30" t="s">
        <v>207</v>
      </c>
      <c r="C645" s="30" t="s">
        <v>20</v>
      </c>
      <c r="D645" s="30" t="s">
        <v>2673</v>
      </c>
      <c r="E645" s="30" t="s">
        <v>1110</v>
      </c>
      <c r="F645" s="30" t="s">
        <v>12</v>
      </c>
      <c r="G645" s="30" t="s">
        <v>24</v>
      </c>
      <c r="H645" s="30" t="str">
        <f>IFERROR(VLOOKUP(TRIM(IF(ISNUMBER(FIND(",", B645)),LEFT(B645,FIND(",",B645)-1),B645)),master!A:B,2,FALSE),"Belum ada mapping")
</f>
        <v>Jakarta</v>
      </c>
      <c r="I645" s="30">
        <f>IFERROR(__xludf.DUMMYFUNCTION("IF(REGEXMATCH(F645,""Cari Kerja""),1,0)"),1.0)</f>
        <v>1</v>
      </c>
    </row>
    <row r="646">
      <c r="A646" s="11">
        <v>645.0</v>
      </c>
      <c r="B646" s="30" t="s">
        <v>309</v>
      </c>
      <c r="C646" s="30" t="s">
        <v>20</v>
      </c>
      <c r="D646" s="30" t="s">
        <v>2677</v>
      </c>
      <c r="E646" s="30" t="s">
        <v>187</v>
      </c>
      <c r="F646" s="30" t="s">
        <v>31</v>
      </c>
      <c r="G646" s="30" t="s">
        <v>24</v>
      </c>
      <c r="H646" s="30" t="str">
        <f>IFERROR(VLOOKUP(TRIM(IF(ISNUMBER(FIND(",", B646)),LEFT(B646,FIND(",",B646)-1),B646)),master!A:B,2,FALSE),"Belum ada mapping")
</f>
        <v>Jawa Timur</v>
      </c>
      <c r="I646" s="30">
        <f>IFERROR(__xludf.DUMMYFUNCTION("IF(REGEXMATCH(F646,""Cari Kerja""),1,0)"),1.0)</f>
        <v>1</v>
      </c>
    </row>
    <row r="647">
      <c r="A647" s="11">
        <v>646.0</v>
      </c>
      <c r="B647" s="30" t="s">
        <v>309</v>
      </c>
      <c r="C647" s="30" t="s">
        <v>20</v>
      </c>
      <c r="D647" s="30" t="s">
        <v>2679</v>
      </c>
      <c r="E647" s="30" t="s">
        <v>187</v>
      </c>
      <c r="F647" s="30" t="s">
        <v>31</v>
      </c>
      <c r="G647" s="30" t="s">
        <v>24</v>
      </c>
      <c r="H647" s="30" t="str">
        <f>IFERROR(VLOOKUP(TRIM(IF(ISNUMBER(FIND(",", B647)),LEFT(B647,FIND(",",B647)-1),B647)),master!A:B,2,FALSE),"Belum ada mapping")
</f>
        <v>Jawa Timur</v>
      </c>
      <c r="I647" s="30">
        <f>IFERROR(__xludf.DUMMYFUNCTION("IF(REGEXMATCH(F647,""Cari Kerja""),1,0)"),1.0)</f>
        <v>1</v>
      </c>
    </row>
    <row r="648">
      <c r="A648" s="11">
        <v>647.0</v>
      </c>
      <c r="B648" s="30" t="s">
        <v>2683</v>
      </c>
      <c r="C648" s="30" t="s">
        <v>20</v>
      </c>
      <c r="D648" s="30" t="s">
        <v>2684</v>
      </c>
      <c r="E648" s="30" t="s">
        <v>58</v>
      </c>
      <c r="F648" s="30" t="s">
        <v>31</v>
      </c>
      <c r="G648" s="30" t="s">
        <v>24</v>
      </c>
      <c r="H648" s="30" t="str">
        <f>IFERROR(VLOOKUP(TRIM(IF(ISNUMBER(FIND(",", B648)),LEFT(B648,FIND(",",B648)-1),B648)),master!A:B,2,FALSE),"Belum ada mapping")
</f>
        <v>Jawa Tengah</v>
      </c>
      <c r="I648" s="30">
        <f>IFERROR(__xludf.DUMMYFUNCTION("IF(REGEXMATCH(F648,""Cari Kerja""),1,0)"),1.0)</f>
        <v>1</v>
      </c>
    </row>
    <row r="649">
      <c r="A649" s="11">
        <v>648.0</v>
      </c>
      <c r="B649" s="30" t="s">
        <v>92</v>
      </c>
      <c r="C649" s="30" t="s">
        <v>20</v>
      </c>
      <c r="D649" s="30" t="s">
        <v>69</v>
      </c>
      <c r="E649" s="30" t="s">
        <v>209</v>
      </c>
      <c r="F649" s="30" t="s">
        <v>31</v>
      </c>
      <c r="G649" s="30" t="s">
        <v>24</v>
      </c>
      <c r="H649" s="30" t="str">
        <f>IFERROR(VLOOKUP(TRIM(IF(ISNUMBER(FIND(",", B649)),LEFT(B649,FIND(",",B649)-1),B649)),master!A:B,2,FALSE),"Belum ada mapping")
</f>
        <v>Jawa Barat</v>
      </c>
      <c r="I649" s="30">
        <f>IFERROR(__xludf.DUMMYFUNCTION("IF(REGEXMATCH(F649,""Cari Kerja""),1,0)"),1.0)</f>
        <v>1</v>
      </c>
    </row>
    <row r="650">
      <c r="A650" s="11">
        <v>649.0</v>
      </c>
      <c r="B650" s="30" t="s">
        <v>118</v>
      </c>
      <c r="C650" s="30" t="s">
        <v>20</v>
      </c>
      <c r="D650" s="30" t="s">
        <v>149</v>
      </c>
      <c r="E650" s="30" t="s">
        <v>606</v>
      </c>
      <c r="F650" s="30" t="s">
        <v>130</v>
      </c>
      <c r="G650" s="30" t="s">
        <v>24</v>
      </c>
      <c r="H650" s="30" t="str">
        <f>IFERROR(VLOOKUP(TRIM(IF(ISNUMBER(FIND(",", B650)),LEFT(B650,FIND(",",B650)-1),B650)),master!A:B,2,FALSE),"Belum ada mapping")
</f>
        <v>Jawa Timur</v>
      </c>
      <c r="I650" s="30">
        <f>IFERROR(__xludf.DUMMYFUNCTION("IF(REGEXMATCH(F650,""Cari Kerja""),1,0)"),1.0)</f>
        <v>1</v>
      </c>
    </row>
    <row r="651">
      <c r="A651" s="11">
        <v>650.0</v>
      </c>
      <c r="B651" s="30" t="s">
        <v>174</v>
      </c>
      <c r="C651" s="30" t="s">
        <v>49</v>
      </c>
      <c r="D651" s="30" t="s">
        <v>2694</v>
      </c>
      <c r="E651" s="30" t="s">
        <v>87</v>
      </c>
      <c r="F651" s="30" t="s">
        <v>59</v>
      </c>
      <c r="G651" s="30" t="s">
        <v>24</v>
      </c>
      <c r="H651" s="30" t="str">
        <f>IFERROR(VLOOKUP(TRIM(IF(ISNUMBER(FIND(",", B651)),LEFT(B651,FIND(",",B651)-1),B651)),master!A:B,2,FALSE),"Belum ada mapping")
</f>
        <v>Jawa Timur</v>
      </c>
      <c r="I651" s="30">
        <f>IFERROR(__xludf.DUMMYFUNCTION("IF(REGEXMATCH(F651,""Cari Kerja""),1,0)"),0.0)</f>
        <v>0</v>
      </c>
    </row>
    <row r="652">
      <c r="A652" s="11">
        <v>651.0</v>
      </c>
      <c r="B652" s="30" t="s">
        <v>218</v>
      </c>
      <c r="C652" s="30" t="s">
        <v>49</v>
      </c>
      <c r="D652" s="30" t="s">
        <v>2698</v>
      </c>
      <c r="E652" s="30" t="s">
        <v>51</v>
      </c>
      <c r="F652" s="30" t="s">
        <v>23</v>
      </c>
      <c r="G652" s="30" t="s">
        <v>24</v>
      </c>
      <c r="H652" s="30" t="str">
        <f>IFERROR(VLOOKUP(TRIM(IF(ISNUMBER(FIND(",", B652)),LEFT(B652,FIND(",",B652)-1),B652)),master!A:B,2,FALSE),"Belum ada mapping")
</f>
        <v>Banten</v>
      </c>
      <c r="I652" s="30">
        <f>IFERROR(__xludf.DUMMYFUNCTION("IF(REGEXMATCH(F652,""Cari Kerja""),1,0)"),1.0)</f>
        <v>1</v>
      </c>
    </row>
    <row r="653">
      <c r="A653" s="11">
        <v>652.0</v>
      </c>
      <c r="B653" s="30" t="s">
        <v>2700</v>
      </c>
      <c r="C653" s="30" t="s">
        <v>49</v>
      </c>
      <c r="D653" s="30" t="s">
        <v>267</v>
      </c>
      <c r="E653" s="30" t="s">
        <v>51</v>
      </c>
      <c r="F653" s="30" t="s">
        <v>31</v>
      </c>
      <c r="G653" s="30" t="s">
        <v>24</v>
      </c>
      <c r="H653" s="30" t="str">
        <f>IFERROR(VLOOKUP(TRIM(IF(ISNUMBER(FIND(",", B653)),LEFT(B653,FIND(",",B653)-1),B653)),master!A:B,2,FALSE),"Belum ada mapping")
</f>
        <v>Banten</v>
      </c>
      <c r="I653" s="30">
        <f>IFERROR(__xludf.DUMMYFUNCTION("IF(REGEXMATCH(F653,""Cari Kerja""),1,0)"),1.0)</f>
        <v>1</v>
      </c>
    </row>
    <row r="654">
      <c r="A654" s="11">
        <v>653.0</v>
      </c>
      <c r="B654" s="30" t="s">
        <v>385</v>
      </c>
      <c r="C654" s="30" t="s">
        <v>20</v>
      </c>
      <c r="D654" s="30" t="s">
        <v>2704</v>
      </c>
      <c r="E654" s="30" t="s">
        <v>51</v>
      </c>
      <c r="F654" s="30" t="s">
        <v>31</v>
      </c>
      <c r="G654" s="30" t="s">
        <v>24</v>
      </c>
      <c r="H654" s="30" t="str">
        <f>IFERROR(VLOOKUP(TRIM(IF(ISNUMBER(FIND(",", B654)),LEFT(B654,FIND(",",B654)-1),B654)),master!A:B,2,FALSE),"Belum ada mapping")
</f>
        <v>Kalimantan Timur</v>
      </c>
      <c r="I654" s="30">
        <f>IFERROR(__xludf.DUMMYFUNCTION("IF(REGEXMATCH(F654,""Cari Kerja""),1,0)"),1.0)</f>
        <v>1</v>
      </c>
    </row>
    <row r="655">
      <c r="A655" s="11">
        <v>654.0</v>
      </c>
      <c r="B655" s="30" t="s">
        <v>596</v>
      </c>
      <c r="C655" s="30" t="s">
        <v>49</v>
      </c>
      <c r="D655" s="30" t="s">
        <v>2708</v>
      </c>
      <c r="E655" s="30" t="s">
        <v>51</v>
      </c>
      <c r="F655" s="30" t="s">
        <v>52</v>
      </c>
      <c r="G655" s="30" t="s">
        <v>24</v>
      </c>
      <c r="H655" s="30" t="str">
        <f>IFERROR(VLOOKUP(TRIM(IF(ISNUMBER(FIND(",", B655)),LEFT(B655,FIND(",",B655)-1),B655)),master!A:B,2,FALSE),"Belum ada mapping")
</f>
        <v>Jawa Timur</v>
      </c>
      <c r="I655" s="30">
        <f>IFERROR(__xludf.DUMMYFUNCTION("IF(REGEXMATCH(F655,""Cari Kerja""),1,0)"),0.0)</f>
        <v>0</v>
      </c>
    </row>
    <row r="656">
      <c r="A656" s="11">
        <v>655.0</v>
      </c>
      <c r="B656" s="30" t="s">
        <v>218</v>
      </c>
      <c r="C656" s="30" t="s">
        <v>49</v>
      </c>
      <c r="D656" s="30" t="s">
        <v>2712</v>
      </c>
      <c r="E656" s="30" t="s">
        <v>209</v>
      </c>
      <c r="F656" s="30" t="s">
        <v>31</v>
      </c>
      <c r="G656" s="30" t="s">
        <v>24</v>
      </c>
      <c r="H656" s="30" t="str">
        <f>IFERROR(VLOOKUP(TRIM(IF(ISNUMBER(FIND(",", B656)),LEFT(B656,FIND(",",B656)-1),B656)),master!A:B,2,FALSE),"Belum ada mapping")
</f>
        <v>Banten</v>
      </c>
      <c r="I656" s="30">
        <f>IFERROR(__xludf.DUMMYFUNCTION("IF(REGEXMATCH(F656,""Cari Kerja""),1,0)"),1.0)</f>
        <v>1</v>
      </c>
    </row>
    <row r="657">
      <c r="A657" s="11">
        <v>656.0</v>
      </c>
      <c r="B657" s="30" t="s">
        <v>174</v>
      </c>
      <c r="C657" s="30" t="s">
        <v>20</v>
      </c>
      <c r="D657" s="30" t="s">
        <v>2716</v>
      </c>
      <c r="E657" s="30" t="s">
        <v>51</v>
      </c>
      <c r="F657" s="30" t="s">
        <v>31</v>
      </c>
      <c r="G657" s="30" t="s">
        <v>76</v>
      </c>
      <c r="H657" s="30" t="str">
        <f>IFERROR(VLOOKUP(TRIM(IF(ISNUMBER(FIND(",", B657)),LEFT(B657,FIND(",",B657)-1),B657)),master!A:B,2,FALSE),"Belum ada mapping")
</f>
        <v>Jawa Timur</v>
      </c>
      <c r="I657" s="30">
        <f>IFERROR(__xludf.DUMMYFUNCTION("IF(REGEXMATCH(F657,""Cari Kerja""),1,0)"),1.0)</f>
        <v>1</v>
      </c>
    </row>
    <row r="658">
      <c r="A658" s="11">
        <v>657.0</v>
      </c>
      <c r="B658" s="30" t="s">
        <v>207</v>
      </c>
      <c r="C658" s="30" t="s">
        <v>49</v>
      </c>
      <c r="D658" s="30" t="s">
        <v>2720</v>
      </c>
      <c r="E658" s="30" t="s">
        <v>51</v>
      </c>
      <c r="F658" s="30" t="s">
        <v>59</v>
      </c>
      <c r="G658" s="30" t="s">
        <v>24</v>
      </c>
      <c r="H658" s="30" t="str">
        <f>IFERROR(VLOOKUP(TRIM(IF(ISNUMBER(FIND(",", B658)),LEFT(B658,FIND(",",B658)-1),B658)),master!A:B,2,FALSE),"Belum ada mapping")
</f>
        <v>Jakarta</v>
      </c>
      <c r="I658" s="30">
        <f>IFERROR(__xludf.DUMMYFUNCTION("IF(REGEXMATCH(F658,""Cari Kerja""),1,0)"),0.0)</f>
        <v>0</v>
      </c>
    </row>
    <row r="659">
      <c r="A659" s="11">
        <v>658.0</v>
      </c>
      <c r="B659" s="30" t="s">
        <v>2724</v>
      </c>
      <c r="C659" s="30" t="s">
        <v>20</v>
      </c>
      <c r="D659" s="30" t="s">
        <v>2725</v>
      </c>
      <c r="E659" s="30" t="s">
        <v>346</v>
      </c>
      <c r="F659" s="30" t="s">
        <v>59</v>
      </c>
      <c r="G659" s="30" t="s">
        <v>24</v>
      </c>
      <c r="H659" s="30" t="str">
        <f>IFERROR(VLOOKUP(TRIM(IF(ISNUMBER(FIND(",", B659)),LEFT(B659,FIND(",",B659)-1),B659)),master!A:B,2,FALSE),"Belum ada mapping")
</f>
        <v>DI Yogyakarta</v>
      </c>
      <c r="I659" s="30">
        <f>IFERROR(__xludf.DUMMYFUNCTION("IF(REGEXMATCH(F659,""Cari Kerja""),1,0)"),0.0)</f>
        <v>0</v>
      </c>
    </row>
    <row r="660">
      <c r="A660" s="11">
        <v>659.0</v>
      </c>
      <c r="B660" s="30" t="s">
        <v>551</v>
      </c>
      <c r="C660" s="30" t="s">
        <v>20</v>
      </c>
      <c r="D660" s="30" t="s">
        <v>21</v>
      </c>
      <c r="E660" s="30" t="s">
        <v>51</v>
      </c>
      <c r="F660" s="30" t="s">
        <v>23</v>
      </c>
      <c r="G660" s="30" t="s">
        <v>24</v>
      </c>
      <c r="H660" s="30" t="str">
        <f>IFERROR(VLOOKUP(TRIM(IF(ISNUMBER(FIND(",", B660)),LEFT(B660,FIND(",",B660)-1),B660)),master!A:B,2,FALSE),"Belum ada mapping")
</f>
        <v>Jawa Barat</v>
      </c>
      <c r="I660" s="30">
        <f>IFERROR(__xludf.DUMMYFUNCTION("IF(REGEXMATCH(F660,""Cari Kerja""),1,0)"),1.0)</f>
        <v>1</v>
      </c>
    </row>
    <row r="661">
      <c r="A661" s="11">
        <v>660.0</v>
      </c>
      <c r="B661" s="30" t="s">
        <v>1010</v>
      </c>
      <c r="C661" s="30" t="s">
        <v>20</v>
      </c>
      <c r="D661" s="30" t="s">
        <v>21</v>
      </c>
      <c r="E661" s="30" t="s">
        <v>2163</v>
      </c>
      <c r="F661" s="30" t="s">
        <v>31</v>
      </c>
      <c r="G661" s="30" t="s">
        <v>24</v>
      </c>
      <c r="H661" s="30" t="str">
        <f>IFERROR(VLOOKUP(TRIM(IF(ISNUMBER(FIND(",", B661)),LEFT(B661,FIND(",",B661)-1),B661)),master!A:B,2,FALSE),"Belum ada mapping")
</f>
        <v>Jawa Barat</v>
      </c>
      <c r="I661" s="30">
        <f>IFERROR(__xludf.DUMMYFUNCTION("IF(REGEXMATCH(F661,""Cari Kerja""),1,0)"),1.0)</f>
        <v>1</v>
      </c>
    </row>
    <row r="662">
      <c r="A662" s="11">
        <v>661.0</v>
      </c>
      <c r="B662" s="30" t="s">
        <v>19</v>
      </c>
      <c r="C662" s="30" t="s">
        <v>49</v>
      </c>
      <c r="D662" s="30" t="s">
        <v>2735</v>
      </c>
      <c r="E662" s="30" t="s">
        <v>51</v>
      </c>
      <c r="F662" s="30" t="s">
        <v>31</v>
      </c>
      <c r="G662" s="30" t="s">
        <v>24</v>
      </c>
      <c r="H662" s="30" t="str">
        <f>IFERROR(VLOOKUP(TRIM(IF(ISNUMBER(FIND(",", B662)),LEFT(B662,FIND(",",B662)-1),B662)),master!A:B,2,FALSE),"Belum ada mapping")
</f>
        <v>Jawa Tengah</v>
      </c>
      <c r="I662" s="30">
        <f>IFERROR(__xludf.DUMMYFUNCTION("IF(REGEXMATCH(F662,""Cari Kerja""),1,0)"),1.0)</f>
        <v>1</v>
      </c>
    </row>
    <row r="663">
      <c r="A663" s="11">
        <v>662.0</v>
      </c>
      <c r="B663" s="30" t="s">
        <v>74</v>
      </c>
      <c r="C663" s="30" t="s">
        <v>49</v>
      </c>
      <c r="D663" s="30" t="s">
        <v>2739</v>
      </c>
      <c r="E663" s="30" t="s">
        <v>136</v>
      </c>
      <c r="F663" s="30" t="s">
        <v>31</v>
      </c>
      <c r="G663" s="30" t="s">
        <v>24</v>
      </c>
      <c r="H663" s="30" t="str">
        <f>IFERROR(VLOOKUP(TRIM(IF(ISNUMBER(FIND(",", B663)),LEFT(B663,FIND(",",B663)-1),B663)),master!A:B,2,FALSE),"Belum ada mapping")
</f>
        <v>Banten</v>
      </c>
      <c r="I663" s="30">
        <f>IFERROR(__xludf.DUMMYFUNCTION("IF(REGEXMATCH(F663,""Cari Kerja""),1,0)"),1.0)</f>
        <v>1</v>
      </c>
    </row>
    <row r="664">
      <c r="A664" s="11">
        <v>663.0</v>
      </c>
      <c r="B664" s="30" t="s">
        <v>2743</v>
      </c>
      <c r="C664" s="30" t="s">
        <v>20</v>
      </c>
      <c r="D664" s="30" t="s">
        <v>69</v>
      </c>
      <c r="E664" s="30" t="s">
        <v>58</v>
      </c>
      <c r="F664" s="30" t="s">
        <v>31</v>
      </c>
      <c r="G664" s="30" t="s">
        <v>24</v>
      </c>
      <c r="H664" s="30" t="str">
        <f>IFERROR(VLOOKUP(TRIM(IF(ISNUMBER(FIND(",", B664)),LEFT(B664,FIND(",",B664)-1),B664)),master!A:B,2,FALSE),"Belum ada mapping")
</f>
        <v>Lampung</v>
      </c>
      <c r="I664" s="30">
        <f>IFERROR(__xludf.DUMMYFUNCTION("IF(REGEXMATCH(F664,""Cari Kerja""),1,0)"),1.0)</f>
        <v>1</v>
      </c>
    </row>
    <row r="665">
      <c r="A665" s="11">
        <v>664.0</v>
      </c>
      <c r="B665" s="30" t="s">
        <v>596</v>
      </c>
      <c r="C665" s="30" t="s">
        <v>20</v>
      </c>
      <c r="D665" s="30" t="s">
        <v>1068</v>
      </c>
      <c r="E665" s="30" t="s">
        <v>2747</v>
      </c>
      <c r="F665" s="30" t="s">
        <v>23</v>
      </c>
      <c r="G665" s="30" t="s">
        <v>24</v>
      </c>
      <c r="H665" s="30" t="str">
        <f>IFERROR(VLOOKUP(TRIM(IF(ISNUMBER(FIND(",", B665)),LEFT(B665,FIND(",",B665)-1),B665)),master!A:B,2,FALSE),"Belum ada mapping")
</f>
        <v>Jawa Timur</v>
      </c>
      <c r="I665" s="30">
        <f>IFERROR(__xludf.DUMMYFUNCTION("IF(REGEXMATCH(F665,""Cari Kerja""),1,0)"),1.0)</f>
        <v>1</v>
      </c>
    </row>
    <row r="666">
      <c r="A666" s="11">
        <v>665.0</v>
      </c>
      <c r="B666" s="30" t="s">
        <v>833</v>
      </c>
      <c r="C666" s="30" t="s">
        <v>20</v>
      </c>
      <c r="D666" s="30" t="s">
        <v>267</v>
      </c>
      <c r="E666" s="30" t="s">
        <v>1643</v>
      </c>
      <c r="F666" s="30" t="s">
        <v>59</v>
      </c>
      <c r="G666" s="30" t="s">
        <v>76</v>
      </c>
      <c r="H666" s="30" t="str">
        <f>IFERROR(VLOOKUP(TRIM(IF(ISNUMBER(FIND(",", B666)),LEFT(B666,FIND(",",B666)-1),B666)),master!A:B,2,FALSE),"Belum ada mapping")
</f>
        <v>Bangka  Belitung</v>
      </c>
      <c r="I666" s="30">
        <f>IFERROR(__xludf.DUMMYFUNCTION("IF(REGEXMATCH(F666,""Cari Kerja""),1,0)"),0.0)</f>
        <v>0</v>
      </c>
    </row>
    <row r="667">
      <c r="A667" s="11">
        <v>666.0</v>
      </c>
      <c r="B667" s="30" t="s">
        <v>2751</v>
      </c>
      <c r="C667" s="30" t="s">
        <v>20</v>
      </c>
      <c r="D667" s="30" t="s">
        <v>2752</v>
      </c>
      <c r="E667" s="30" t="s">
        <v>582</v>
      </c>
      <c r="F667" s="30" t="s">
        <v>13</v>
      </c>
      <c r="G667" s="30" t="s">
        <v>76</v>
      </c>
      <c r="H667" s="30" t="str">
        <f>IFERROR(VLOOKUP(TRIM(IF(ISNUMBER(FIND(",", B667)),LEFT(B667,FIND(",",B667)-1),B667)),master!A:B,2,FALSE),"Belum ada mapping")
</f>
        <v>Bangka  Belitung</v>
      </c>
      <c r="I667" s="30">
        <f>IFERROR(__xludf.DUMMYFUNCTION("IF(REGEXMATCH(F667,""Cari Kerja""),1,0)"),0.0)</f>
        <v>0</v>
      </c>
    </row>
    <row r="668">
      <c r="A668" s="11">
        <v>667.0</v>
      </c>
      <c r="B668" s="30" t="s">
        <v>1600</v>
      </c>
      <c r="C668" s="30" t="s">
        <v>20</v>
      </c>
      <c r="D668" s="30" t="s">
        <v>69</v>
      </c>
      <c r="E668" s="30" t="s">
        <v>165</v>
      </c>
      <c r="F668" s="30" t="s">
        <v>13</v>
      </c>
      <c r="G668" s="30" t="s">
        <v>24</v>
      </c>
      <c r="H668" s="30" t="str">
        <f>IFERROR(VLOOKUP(TRIM(IF(ISNUMBER(FIND(",", B668)),LEFT(B668,FIND(",",B668)-1),B668)),master!A:B,2,FALSE),"Belum ada mapping")
</f>
        <v>Kalimantan Selatan</v>
      </c>
      <c r="I668" s="30">
        <f>IFERROR(__xludf.DUMMYFUNCTION("IF(REGEXMATCH(F668,""Cari Kerja""),1,0)"),0.0)</f>
        <v>0</v>
      </c>
    </row>
    <row r="669">
      <c r="A669" s="11">
        <v>668.0</v>
      </c>
      <c r="B669" s="30" t="s">
        <v>457</v>
      </c>
      <c r="C669" s="30" t="s">
        <v>20</v>
      </c>
      <c r="D669" s="30" t="s">
        <v>2759</v>
      </c>
      <c r="E669" s="30" t="s">
        <v>209</v>
      </c>
      <c r="F669" s="30" t="s">
        <v>31</v>
      </c>
      <c r="G669" s="30" t="s">
        <v>24</v>
      </c>
      <c r="H669" s="30" t="str">
        <f>IFERROR(VLOOKUP(TRIM(IF(ISNUMBER(FIND(",", B669)),LEFT(B669,FIND(",",B669)-1),B669)),master!A:B,2,FALSE),"Belum ada mapping")
</f>
        <v>Lampung</v>
      </c>
      <c r="I669" s="30">
        <f>IFERROR(__xludf.DUMMYFUNCTION("IF(REGEXMATCH(F669,""Cari Kerja""),1,0)"),1.0)</f>
        <v>1</v>
      </c>
    </row>
    <row r="670">
      <c r="A670" s="11">
        <v>669.0</v>
      </c>
      <c r="B670" s="30" t="s">
        <v>2763</v>
      </c>
      <c r="C670" s="30" t="s">
        <v>49</v>
      </c>
      <c r="D670" s="30" t="s">
        <v>2764</v>
      </c>
      <c r="E670" s="30" t="s">
        <v>439</v>
      </c>
      <c r="F670" s="30" t="s">
        <v>130</v>
      </c>
      <c r="G670" s="30" t="s">
        <v>76</v>
      </c>
      <c r="H670" s="30" t="str">
        <f>IFERROR(VLOOKUP(TRIM(IF(ISNUMBER(FIND(",", B670)),LEFT(B670,FIND(",",B670)-1),B670)),master!A:B,2,FALSE),"Belum ada mapping")
</f>
        <v>Kalimantan Barat</v>
      </c>
      <c r="I670" s="30">
        <f>IFERROR(__xludf.DUMMYFUNCTION("IF(REGEXMATCH(F670,""Cari Kerja""),1,0)"),1.0)</f>
        <v>1</v>
      </c>
    </row>
    <row r="671">
      <c r="A671" s="11">
        <v>670.0</v>
      </c>
      <c r="B671" s="30" t="s">
        <v>48</v>
      </c>
      <c r="C671" s="30" t="s">
        <v>49</v>
      </c>
      <c r="D671" s="30" t="s">
        <v>945</v>
      </c>
      <c r="E671" s="30" t="s">
        <v>87</v>
      </c>
      <c r="F671" s="30" t="s">
        <v>13</v>
      </c>
      <c r="G671" s="30" t="s">
        <v>38</v>
      </c>
      <c r="H671" s="30" t="str">
        <f>IFERROR(VLOOKUP(TRIM(IF(ISNUMBER(FIND(",", B671)),LEFT(B671,FIND(",",B671)-1),B671)),master!A:B,2,FALSE),"Belum ada mapping")
</f>
        <v>DI Yogyakarta</v>
      </c>
      <c r="I671" s="30">
        <f>IFERROR(__xludf.DUMMYFUNCTION("IF(REGEXMATCH(F671,""Cari Kerja""),1,0)"),0.0)</f>
        <v>0</v>
      </c>
    </row>
    <row r="672">
      <c r="A672" s="11">
        <v>671.0</v>
      </c>
      <c r="B672" s="30" t="s">
        <v>551</v>
      </c>
      <c r="C672" s="30" t="s">
        <v>20</v>
      </c>
      <c r="D672" s="30" t="s">
        <v>2771</v>
      </c>
      <c r="E672" s="30" t="s">
        <v>2772</v>
      </c>
      <c r="F672" s="30" t="s">
        <v>31</v>
      </c>
      <c r="G672" s="30" t="s">
        <v>24</v>
      </c>
      <c r="H672" s="30" t="str">
        <f>IFERROR(VLOOKUP(TRIM(IF(ISNUMBER(FIND(",", B672)),LEFT(B672,FIND(",",B672)-1),B672)),master!A:B,2,FALSE),"Belum ada mapping")
</f>
        <v>Jawa Barat</v>
      </c>
      <c r="I672" s="30">
        <f>IFERROR(__xludf.DUMMYFUNCTION("IF(REGEXMATCH(F672,""Cari Kerja""),1,0)"),1.0)</f>
        <v>1</v>
      </c>
    </row>
    <row r="673">
      <c r="A673" s="11">
        <v>672.0</v>
      </c>
      <c r="B673" s="30" t="s">
        <v>484</v>
      </c>
      <c r="C673" s="30" t="s">
        <v>49</v>
      </c>
      <c r="D673" s="30" t="s">
        <v>2776</v>
      </c>
      <c r="E673" s="30" t="s">
        <v>463</v>
      </c>
      <c r="F673" s="30" t="s">
        <v>52</v>
      </c>
      <c r="G673" s="30" t="s">
        <v>24</v>
      </c>
      <c r="H673" s="30" t="str">
        <f>IFERROR(VLOOKUP(TRIM(IF(ISNUMBER(FIND(",", B673)),LEFT(B673,FIND(",",B673)-1),B673)),master!A:B,2,FALSE),"Belum ada mapping")
</f>
        <v>Jawa Tengah</v>
      </c>
      <c r="I673" s="30">
        <f>IFERROR(__xludf.DUMMYFUNCTION("IF(REGEXMATCH(F673,""Cari Kerja""),1,0)"),0.0)</f>
        <v>0</v>
      </c>
    </row>
    <row r="674">
      <c r="A674" s="11">
        <v>673.0</v>
      </c>
      <c r="B674" s="30" t="s">
        <v>2780</v>
      </c>
      <c r="C674" s="30" t="s">
        <v>20</v>
      </c>
      <c r="D674" s="30" t="s">
        <v>2781</v>
      </c>
      <c r="E674" s="30" t="s">
        <v>51</v>
      </c>
      <c r="F674" s="30" t="s">
        <v>23</v>
      </c>
      <c r="G674" s="30" t="s">
        <v>24</v>
      </c>
      <c r="H674" s="30" t="str">
        <f>IFERROR(VLOOKUP(TRIM(IF(ISNUMBER(FIND(",", B674)),LEFT(B674,FIND(",",B674)-1),B674)),master!A:B,2,FALSE),"Belum ada mapping")
</f>
        <v>Jawa Barat</v>
      </c>
      <c r="I674" s="30">
        <f>IFERROR(__xludf.DUMMYFUNCTION("IF(REGEXMATCH(F674,""Cari Kerja""),1,0)"),1.0)</f>
        <v>1</v>
      </c>
    </row>
    <row r="675">
      <c r="A675" s="11">
        <v>674.0</v>
      </c>
      <c r="B675" s="30" t="s">
        <v>207</v>
      </c>
      <c r="C675" s="30" t="s">
        <v>49</v>
      </c>
      <c r="D675" s="30" t="s">
        <v>927</v>
      </c>
      <c r="E675" s="30" t="s">
        <v>567</v>
      </c>
      <c r="F675" s="30" t="s">
        <v>13</v>
      </c>
      <c r="G675" s="30" t="s">
        <v>24</v>
      </c>
      <c r="H675" s="30" t="str">
        <f>IFERROR(VLOOKUP(TRIM(IF(ISNUMBER(FIND(",", B675)),LEFT(B675,FIND(",",B675)-1),B675)),master!A:B,2,FALSE),"Belum ada mapping")
</f>
        <v>Jakarta</v>
      </c>
      <c r="I675" s="30">
        <f>IFERROR(__xludf.DUMMYFUNCTION("IF(REGEXMATCH(F675,""Cari Kerja""),1,0)"),0.0)</f>
        <v>0</v>
      </c>
    </row>
    <row r="676">
      <c r="A676" s="11">
        <v>675.0</v>
      </c>
      <c r="B676" s="30" t="s">
        <v>2788</v>
      </c>
      <c r="C676" s="30" t="s">
        <v>49</v>
      </c>
      <c r="D676" s="30" t="s">
        <v>2789</v>
      </c>
      <c r="E676" s="30" t="s">
        <v>176</v>
      </c>
      <c r="F676" s="30" t="s">
        <v>13</v>
      </c>
      <c r="G676" s="30" t="s">
        <v>38</v>
      </c>
      <c r="H676" s="30" t="str">
        <f>IFERROR(VLOOKUP(TRIM(IF(ISNUMBER(FIND(",", B676)),LEFT(B676,FIND(",",B676)-1),B676)),master!A:B,2,FALSE),"Belum ada mapping")
</f>
        <v>Jawa Timur</v>
      </c>
      <c r="I676" s="30">
        <f>IFERROR(__xludf.DUMMYFUNCTION("IF(REGEXMATCH(F676,""Cari Kerja""),1,0)"),0.0)</f>
        <v>0</v>
      </c>
    </row>
    <row r="677">
      <c r="A677" s="11">
        <v>676.0</v>
      </c>
      <c r="B677" s="30" t="s">
        <v>2788</v>
      </c>
      <c r="C677" s="30" t="s">
        <v>49</v>
      </c>
      <c r="D677" s="30" t="s">
        <v>2790</v>
      </c>
      <c r="E677" s="30" t="s">
        <v>2791</v>
      </c>
      <c r="F677" s="30" t="s">
        <v>59</v>
      </c>
      <c r="G677" s="30" t="s">
        <v>76</v>
      </c>
      <c r="H677" s="30" t="str">
        <f>IFERROR(VLOOKUP(TRIM(IF(ISNUMBER(FIND(",", B677)),LEFT(B677,FIND(",",B677)-1),B677)),master!A:B,2,FALSE),"Belum ada mapping")
</f>
        <v>Jawa Timur</v>
      </c>
      <c r="I677" s="30">
        <f>IFERROR(__xludf.DUMMYFUNCTION("IF(REGEXMATCH(F677,""Cari Kerja""),1,0)"),0.0)</f>
        <v>0</v>
      </c>
    </row>
    <row r="678">
      <c r="A678" s="11">
        <v>677.0</v>
      </c>
      <c r="B678" s="30" t="s">
        <v>207</v>
      </c>
      <c r="C678" s="30" t="s">
        <v>20</v>
      </c>
      <c r="D678" s="30" t="s">
        <v>21</v>
      </c>
      <c r="E678" s="30" t="s">
        <v>165</v>
      </c>
      <c r="F678" s="30" t="s">
        <v>59</v>
      </c>
      <c r="G678" s="30" t="s">
        <v>24</v>
      </c>
      <c r="H678" s="30" t="str">
        <f>IFERROR(VLOOKUP(TRIM(IF(ISNUMBER(FIND(",", B678)),LEFT(B678,FIND(",",B678)-1),B678)),master!A:B,2,FALSE),"Belum ada mapping")
</f>
        <v>Jakarta</v>
      </c>
      <c r="I678" s="30">
        <f>IFERROR(__xludf.DUMMYFUNCTION("IF(REGEXMATCH(F678,""Cari Kerja""),1,0)"),0.0)</f>
        <v>0</v>
      </c>
    </row>
    <row r="679">
      <c r="A679" s="11">
        <v>678.0</v>
      </c>
      <c r="B679" s="30" t="s">
        <v>122</v>
      </c>
      <c r="C679" s="30" t="s">
        <v>49</v>
      </c>
      <c r="D679" s="30" t="s">
        <v>2798</v>
      </c>
      <c r="E679" s="30" t="s">
        <v>245</v>
      </c>
      <c r="F679" s="30" t="s">
        <v>52</v>
      </c>
      <c r="G679" s="30" t="s">
        <v>24</v>
      </c>
      <c r="H679" s="30" t="str">
        <f>IFERROR(VLOOKUP(TRIM(IF(ISNUMBER(FIND(",", B679)),LEFT(B679,FIND(",",B679)-1),B679)),master!A:B,2,FALSE),"Belum ada mapping")
</f>
        <v>Sulawesi Selatan</v>
      </c>
      <c r="I679" s="30">
        <f>IFERROR(__xludf.DUMMYFUNCTION("IF(REGEXMATCH(F679,""Cari Kerja""),1,0)"),0.0)</f>
        <v>0</v>
      </c>
    </row>
    <row r="680">
      <c r="A680" s="11">
        <v>679.0</v>
      </c>
      <c r="B680" s="30" t="s">
        <v>2802</v>
      </c>
      <c r="C680" s="30" t="s">
        <v>49</v>
      </c>
      <c r="D680" s="30" t="s">
        <v>69</v>
      </c>
      <c r="E680" s="30" t="s">
        <v>305</v>
      </c>
      <c r="F680" s="30" t="s">
        <v>12</v>
      </c>
      <c r="G680" s="30" t="s">
        <v>38</v>
      </c>
      <c r="H680" s="30" t="str">
        <f>IFERROR(VLOOKUP(TRIM(IF(ISNUMBER(FIND(",", B680)),LEFT(B680,FIND(",",B680)-1),B680)),master!A:B,2,FALSE),"Belum ada mapping")
</f>
        <v>Jawa Tengah</v>
      </c>
      <c r="I680" s="30">
        <f>IFERROR(__xludf.DUMMYFUNCTION("IF(REGEXMATCH(F680,""Cari Kerja""),1,0)"),1.0)</f>
        <v>1</v>
      </c>
    </row>
    <row r="681">
      <c r="A681" s="11">
        <v>680.0</v>
      </c>
      <c r="B681" s="30" t="s">
        <v>2806</v>
      </c>
      <c r="C681" s="30" t="s">
        <v>20</v>
      </c>
      <c r="D681" s="30" t="s">
        <v>360</v>
      </c>
      <c r="E681" s="30" t="s">
        <v>2807</v>
      </c>
      <c r="F681" s="30" t="s">
        <v>59</v>
      </c>
      <c r="G681" s="30" t="s">
        <v>76</v>
      </c>
      <c r="H681" s="30" t="str">
        <f>IFERROR(VLOOKUP(TRIM(IF(ISNUMBER(FIND(",", B681)),LEFT(B681,FIND(",",B681)-1),B681)),master!A:B,2,FALSE),"Belum ada mapping")
</f>
        <v>Jawa Timur</v>
      </c>
      <c r="I681" s="30">
        <f>IFERROR(__xludf.DUMMYFUNCTION("IF(REGEXMATCH(F681,""Cari Kerja""),1,0)"),0.0)</f>
        <v>0</v>
      </c>
    </row>
    <row r="682">
      <c r="A682" s="11">
        <v>681.0</v>
      </c>
      <c r="B682" s="30" t="s">
        <v>2811</v>
      </c>
      <c r="C682" s="30" t="s">
        <v>20</v>
      </c>
      <c r="D682" s="30" t="s">
        <v>2812</v>
      </c>
      <c r="E682" s="30" t="s">
        <v>51</v>
      </c>
      <c r="F682" s="30" t="s">
        <v>52</v>
      </c>
      <c r="G682" s="30" t="s">
        <v>24</v>
      </c>
      <c r="H682" s="30" t="str">
        <f>IFERROR(VLOOKUP(TRIM(IF(ISNUMBER(FIND(",", B682)),LEFT(B682,FIND(",",B682)-1),B682)),master!A:B,2,FALSE),"Belum ada mapping")
</f>
        <v>Jawa Barat</v>
      </c>
      <c r="I682" s="30">
        <f>IFERROR(__xludf.DUMMYFUNCTION("IF(REGEXMATCH(F682,""Cari Kerja""),1,0)"),0.0)</f>
        <v>0</v>
      </c>
    </row>
    <row r="683">
      <c r="B683" s="30"/>
      <c r="C683" s="30"/>
      <c r="D683" s="30"/>
      <c r="E683" s="30"/>
      <c r="F683" s="30"/>
      <c r="G683" s="30"/>
    </row>
    <row r="684">
      <c r="B684" s="30"/>
      <c r="C684" s="30"/>
      <c r="D684" s="30"/>
      <c r="E684" s="30"/>
      <c r="F684" s="30"/>
      <c r="G684" s="30"/>
    </row>
    <row r="685">
      <c r="B685" s="30"/>
      <c r="C685" s="30"/>
      <c r="D685" s="30"/>
      <c r="E685" s="30"/>
      <c r="F685" s="30"/>
      <c r="G685" s="30"/>
    </row>
    <row r="686">
      <c r="B686" s="30"/>
      <c r="C686" s="30"/>
      <c r="D686" s="30"/>
      <c r="E686" s="30"/>
      <c r="F686" s="30"/>
      <c r="G686" s="30"/>
    </row>
    <row r="687">
      <c r="B687" s="30"/>
      <c r="C687" s="30"/>
      <c r="D687" s="30"/>
      <c r="E687" s="30"/>
      <c r="F687" s="30"/>
      <c r="G687" s="30"/>
    </row>
    <row r="688">
      <c r="B688" s="30"/>
      <c r="C688" s="30"/>
      <c r="D688" s="30"/>
      <c r="E688" s="30"/>
      <c r="F688" s="30"/>
      <c r="G688" s="30"/>
    </row>
    <row r="689">
      <c r="B689" s="30"/>
      <c r="C689" s="30"/>
      <c r="D689" s="30"/>
      <c r="E689" s="30"/>
      <c r="F689" s="30"/>
      <c r="G689" s="30"/>
    </row>
    <row r="690">
      <c r="B690" s="30"/>
      <c r="C690" s="30"/>
      <c r="D690" s="30"/>
      <c r="E690" s="30"/>
      <c r="F690" s="30"/>
      <c r="G690" s="30"/>
    </row>
    <row r="691">
      <c r="B691" s="30"/>
      <c r="C691" s="30"/>
      <c r="D691" s="30"/>
      <c r="E691" s="30"/>
      <c r="F691" s="30"/>
      <c r="G691" s="30"/>
    </row>
    <row r="692">
      <c r="B692" s="30"/>
      <c r="C692" s="30"/>
      <c r="D692" s="30"/>
      <c r="E692" s="30"/>
      <c r="F692" s="30"/>
      <c r="G692" s="30"/>
    </row>
    <row r="693">
      <c r="B693" s="30"/>
      <c r="C693" s="30"/>
      <c r="D693" s="30"/>
      <c r="E693" s="30"/>
      <c r="F693" s="30"/>
      <c r="G693" s="30"/>
    </row>
    <row r="694">
      <c r="B694" s="30"/>
      <c r="C694" s="30"/>
      <c r="D694" s="30"/>
      <c r="E694" s="30"/>
      <c r="F694" s="30"/>
      <c r="G694" s="30"/>
    </row>
    <row r="695">
      <c r="B695" s="30"/>
      <c r="C695" s="30"/>
      <c r="D695" s="30"/>
      <c r="E695" s="30"/>
      <c r="F695" s="30"/>
      <c r="G695" s="30"/>
    </row>
    <row r="696">
      <c r="B696" s="30"/>
      <c r="C696" s="30"/>
      <c r="D696" s="30"/>
      <c r="E696" s="30"/>
      <c r="F696" s="30"/>
      <c r="G696" s="30"/>
    </row>
    <row r="697">
      <c r="B697" s="30"/>
      <c r="C697" s="30"/>
      <c r="D697" s="30"/>
      <c r="E697" s="30"/>
      <c r="F697" s="30"/>
      <c r="G697" s="30"/>
    </row>
    <row r="698">
      <c r="B698" s="30"/>
      <c r="C698" s="30"/>
      <c r="D698" s="30"/>
      <c r="E698" s="30"/>
      <c r="F698" s="30"/>
      <c r="G698" s="30"/>
    </row>
    <row r="699">
      <c r="B699" s="30"/>
      <c r="C699" s="30"/>
      <c r="D699" s="30"/>
      <c r="E699" s="30"/>
      <c r="F699" s="30"/>
      <c r="G699" s="30"/>
    </row>
    <row r="700">
      <c r="B700" s="30"/>
      <c r="C700" s="30"/>
      <c r="D700" s="30"/>
      <c r="E700" s="30"/>
      <c r="F700" s="30"/>
      <c r="G700" s="30"/>
    </row>
    <row r="701">
      <c r="B701" s="30"/>
      <c r="C701" s="30"/>
      <c r="D701" s="30"/>
      <c r="E701" s="30"/>
      <c r="F701" s="30"/>
      <c r="G701" s="30"/>
    </row>
    <row r="702">
      <c r="B702" s="30"/>
      <c r="C702" s="30"/>
      <c r="D702" s="30"/>
      <c r="E702" s="30"/>
      <c r="F702" s="30"/>
      <c r="G702" s="30"/>
    </row>
    <row r="703">
      <c r="B703" s="30"/>
      <c r="C703" s="30"/>
      <c r="D703" s="30"/>
      <c r="E703" s="30"/>
      <c r="F703" s="30"/>
      <c r="G703" s="30"/>
    </row>
    <row r="704">
      <c r="B704" s="30"/>
      <c r="C704" s="30"/>
      <c r="D704" s="30"/>
      <c r="E704" s="30"/>
      <c r="F704" s="30"/>
      <c r="G704" s="30"/>
    </row>
    <row r="705">
      <c r="B705" s="30"/>
      <c r="C705" s="30"/>
      <c r="D705" s="30"/>
      <c r="E705" s="30"/>
      <c r="F705" s="30"/>
      <c r="G705" s="30"/>
    </row>
    <row r="706">
      <c r="B706" s="30"/>
      <c r="C706" s="30"/>
      <c r="D706" s="30"/>
      <c r="E706" s="30"/>
      <c r="F706" s="30"/>
      <c r="G706" s="30"/>
    </row>
    <row r="707">
      <c r="B707" s="30"/>
      <c r="C707" s="30"/>
      <c r="D707" s="30"/>
      <c r="E707" s="30"/>
      <c r="F707" s="30"/>
      <c r="G707" s="30"/>
    </row>
    <row r="708">
      <c r="B708" s="30"/>
      <c r="C708" s="30"/>
      <c r="D708" s="30"/>
      <c r="E708" s="30"/>
      <c r="F708" s="30"/>
      <c r="G708" s="30"/>
    </row>
    <row r="709">
      <c r="B709" s="30"/>
      <c r="C709" s="30"/>
      <c r="D709" s="30"/>
      <c r="E709" s="30"/>
      <c r="F709" s="30"/>
      <c r="G709" s="30"/>
    </row>
    <row r="710">
      <c r="B710" s="30"/>
      <c r="C710" s="30"/>
      <c r="D710" s="30"/>
      <c r="E710" s="30"/>
      <c r="F710" s="30"/>
      <c r="G710" s="30"/>
    </row>
    <row r="711">
      <c r="B711" s="30"/>
      <c r="C711" s="30"/>
      <c r="D711" s="30"/>
      <c r="E711" s="30"/>
      <c r="F711" s="30"/>
      <c r="G711" s="30"/>
    </row>
    <row r="712">
      <c r="B712" s="30"/>
      <c r="C712" s="30"/>
      <c r="D712" s="30"/>
      <c r="E712" s="30"/>
      <c r="F712" s="30"/>
      <c r="G712" s="30"/>
    </row>
    <row r="713">
      <c r="B713" s="30"/>
      <c r="C713" s="30"/>
      <c r="D713" s="30"/>
      <c r="E713" s="30"/>
      <c r="F713" s="30"/>
      <c r="G713" s="30"/>
    </row>
    <row r="714">
      <c r="B714" s="30"/>
      <c r="C714" s="30"/>
      <c r="D714" s="30"/>
      <c r="E714" s="30"/>
      <c r="F714" s="30"/>
      <c r="G714" s="30"/>
    </row>
    <row r="715">
      <c r="B715" s="30"/>
      <c r="C715" s="30"/>
      <c r="D715" s="30"/>
      <c r="E715" s="30"/>
      <c r="F715" s="30"/>
      <c r="G715" s="30"/>
    </row>
    <row r="716">
      <c r="B716" s="30"/>
      <c r="C716" s="30"/>
      <c r="D716" s="30"/>
      <c r="E716" s="30"/>
      <c r="F716" s="30"/>
      <c r="G716" s="30"/>
    </row>
    <row r="717">
      <c r="B717" s="30"/>
      <c r="C717" s="30"/>
      <c r="D717" s="30"/>
      <c r="E717" s="30"/>
      <c r="F717" s="30"/>
      <c r="G717" s="30"/>
    </row>
    <row r="718">
      <c r="B718" s="30"/>
      <c r="C718" s="30"/>
      <c r="D718" s="30"/>
      <c r="E718" s="30"/>
      <c r="F718" s="30"/>
      <c r="G718" s="30"/>
    </row>
    <row r="719">
      <c r="B719" s="30"/>
      <c r="C719" s="30"/>
      <c r="D719" s="30"/>
      <c r="E719" s="30"/>
      <c r="F719" s="30"/>
      <c r="G719" s="30"/>
    </row>
    <row r="720">
      <c r="B720" s="30"/>
      <c r="C720" s="30"/>
      <c r="D720" s="30"/>
      <c r="E720" s="30"/>
      <c r="F720" s="30"/>
      <c r="G720" s="30"/>
    </row>
    <row r="721">
      <c r="B721" s="30"/>
      <c r="C721" s="30"/>
      <c r="D721" s="30"/>
      <c r="E721" s="30"/>
      <c r="F721" s="30"/>
      <c r="G721" s="30"/>
    </row>
    <row r="722">
      <c r="B722" s="30"/>
      <c r="C722" s="30"/>
      <c r="D722" s="30"/>
      <c r="E722" s="30"/>
      <c r="F722" s="30"/>
      <c r="G722" s="30"/>
    </row>
    <row r="723">
      <c r="B723" s="30"/>
      <c r="C723" s="30"/>
      <c r="D723" s="30"/>
      <c r="E723" s="30"/>
      <c r="F723" s="30"/>
      <c r="G723" s="30"/>
    </row>
    <row r="724">
      <c r="B724" s="30"/>
      <c r="C724" s="30"/>
      <c r="D724" s="30"/>
      <c r="E724" s="30"/>
      <c r="F724" s="30"/>
      <c r="G724" s="30"/>
    </row>
    <row r="725">
      <c r="B725" s="30"/>
      <c r="C725" s="30"/>
      <c r="D725" s="30"/>
      <c r="E725" s="30"/>
      <c r="F725" s="30"/>
      <c r="G725" s="30"/>
    </row>
    <row r="726">
      <c r="B726" s="30"/>
      <c r="C726" s="30"/>
      <c r="D726" s="30"/>
      <c r="E726" s="30"/>
      <c r="F726" s="30"/>
      <c r="G726" s="30"/>
    </row>
    <row r="727">
      <c r="B727" s="30"/>
      <c r="C727" s="30"/>
      <c r="D727" s="30"/>
      <c r="E727" s="30"/>
      <c r="F727" s="30"/>
      <c r="G727" s="30"/>
    </row>
    <row r="728">
      <c r="B728" s="30"/>
      <c r="C728" s="30"/>
      <c r="D728" s="30"/>
      <c r="E728" s="30"/>
      <c r="F728" s="30"/>
      <c r="G728" s="30"/>
    </row>
    <row r="729">
      <c r="B729" s="30"/>
      <c r="C729" s="30"/>
      <c r="D729" s="30"/>
      <c r="E729" s="30"/>
      <c r="F729" s="30"/>
      <c r="G729" s="30"/>
    </row>
    <row r="730">
      <c r="B730" s="30"/>
      <c r="C730" s="30"/>
      <c r="D730" s="30"/>
      <c r="E730" s="30"/>
      <c r="F730" s="30"/>
      <c r="G730" s="30"/>
    </row>
    <row r="731">
      <c r="B731" s="30"/>
      <c r="C731" s="30"/>
      <c r="D731" s="30"/>
      <c r="E731" s="30"/>
      <c r="F731" s="30"/>
      <c r="G731" s="30"/>
    </row>
    <row r="732">
      <c r="B732" s="30"/>
      <c r="C732" s="30"/>
      <c r="D732" s="30"/>
      <c r="E732" s="30"/>
      <c r="F732" s="30"/>
      <c r="G732" s="30"/>
    </row>
    <row r="733">
      <c r="B733" s="30"/>
      <c r="C733" s="30"/>
      <c r="D733" s="30"/>
      <c r="E733" s="30"/>
      <c r="F733" s="30"/>
      <c r="G733" s="30"/>
    </row>
    <row r="734">
      <c r="B734" s="30"/>
      <c r="C734" s="30"/>
      <c r="D734" s="30"/>
      <c r="E734" s="30"/>
      <c r="F734" s="30"/>
      <c r="G734" s="30"/>
    </row>
    <row r="735">
      <c r="B735" s="30"/>
      <c r="C735" s="30"/>
      <c r="D735" s="30"/>
      <c r="E735" s="30"/>
      <c r="F735" s="30"/>
      <c r="G735" s="30"/>
    </row>
    <row r="736">
      <c r="B736" s="30"/>
      <c r="C736" s="30"/>
      <c r="D736" s="30"/>
      <c r="E736" s="30"/>
      <c r="F736" s="30"/>
      <c r="G736" s="30"/>
    </row>
    <row r="737">
      <c r="B737" s="30"/>
      <c r="C737" s="30"/>
      <c r="D737" s="30"/>
      <c r="E737" s="30"/>
      <c r="F737" s="30"/>
      <c r="G737" s="30"/>
    </row>
    <row r="738">
      <c r="B738" s="30"/>
      <c r="C738" s="30"/>
      <c r="D738" s="30"/>
      <c r="E738" s="30"/>
      <c r="F738" s="30"/>
      <c r="G738" s="30"/>
    </row>
    <row r="739">
      <c r="B739" s="30"/>
      <c r="C739" s="30"/>
      <c r="D739" s="30"/>
      <c r="E739" s="30"/>
      <c r="F739" s="30"/>
      <c r="G739" s="30"/>
    </row>
    <row r="740">
      <c r="B740" s="30"/>
      <c r="C740" s="30"/>
      <c r="D740" s="30"/>
      <c r="E740" s="30"/>
      <c r="F740" s="30"/>
      <c r="G740" s="30"/>
    </row>
    <row r="741">
      <c r="B741" s="30"/>
      <c r="C741" s="30"/>
      <c r="D741" s="30"/>
      <c r="E741" s="30"/>
      <c r="F741" s="30"/>
      <c r="G741" s="30"/>
    </row>
    <row r="742">
      <c r="B742" s="30"/>
      <c r="C742" s="30"/>
      <c r="D742" s="30"/>
      <c r="E742" s="30"/>
      <c r="F742" s="30"/>
      <c r="G742" s="30"/>
    </row>
    <row r="743">
      <c r="B743" s="30"/>
      <c r="C743" s="30"/>
      <c r="D743" s="30"/>
      <c r="E743" s="30"/>
      <c r="F743" s="30"/>
      <c r="G743" s="30"/>
    </row>
    <row r="744">
      <c r="B744" s="30"/>
      <c r="C744" s="30"/>
      <c r="D744" s="30"/>
      <c r="E744" s="30"/>
      <c r="F744" s="30"/>
      <c r="G744" s="30"/>
    </row>
    <row r="745">
      <c r="B745" s="30"/>
      <c r="C745" s="30"/>
      <c r="D745" s="30"/>
      <c r="E745" s="30"/>
      <c r="F745" s="30"/>
      <c r="G745" s="30"/>
    </row>
    <row r="746">
      <c r="B746" s="30"/>
      <c r="C746" s="30"/>
      <c r="D746" s="30"/>
      <c r="E746" s="30"/>
      <c r="F746" s="30"/>
      <c r="G746" s="30"/>
    </row>
    <row r="747">
      <c r="B747" s="30"/>
      <c r="C747" s="30"/>
      <c r="D747" s="30"/>
      <c r="E747" s="30"/>
      <c r="F747" s="30"/>
      <c r="G747" s="30"/>
    </row>
    <row r="748">
      <c r="B748" s="30"/>
      <c r="C748" s="30"/>
      <c r="D748" s="30"/>
      <c r="E748" s="30"/>
      <c r="F748" s="30"/>
      <c r="G748" s="30"/>
    </row>
    <row r="749">
      <c r="B749" s="30"/>
      <c r="C749" s="30"/>
      <c r="D749" s="30"/>
      <c r="E749" s="30"/>
      <c r="F749" s="30"/>
      <c r="G749" s="30"/>
    </row>
    <row r="750">
      <c r="B750" s="30"/>
      <c r="C750" s="30"/>
      <c r="D750" s="30"/>
      <c r="E750" s="30"/>
      <c r="F750" s="30"/>
      <c r="G750" s="30"/>
    </row>
    <row r="751">
      <c r="B751" s="30"/>
      <c r="C751" s="30"/>
      <c r="D751" s="30"/>
      <c r="E751" s="30"/>
      <c r="F751" s="30"/>
      <c r="G751" s="30"/>
    </row>
    <row r="752">
      <c r="B752" s="30"/>
      <c r="C752" s="30"/>
      <c r="D752" s="30"/>
      <c r="E752" s="30"/>
      <c r="F752" s="30"/>
      <c r="G752" s="30"/>
    </row>
    <row r="753">
      <c r="B753" s="30"/>
      <c r="C753" s="30"/>
      <c r="D753" s="30"/>
      <c r="E753" s="30"/>
      <c r="F753" s="30"/>
      <c r="G753" s="30"/>
    </row>
    <row r="754">
      <c r="B754" s="30"/>
      <c r="C754" s="30"/>
      <c r="D754" s="30"/>
      <c r="E754" s="30"/>
      <c r="F754" s="30"/>
      <c r="G754" s="30"/>
    </row>
    <row r="755">
      <c r="B755" s="30"/>
      <c r="C755" s="30"/>
      <c r="D755" s="30"/>
      <c r="E755" s="30"/>
      <c r="F755" s="30"/>
      <c r="G755" s="30"/>
    </row>
    <row r="756">
      <c r="B756" s="30"/>
      <c r="C756" s="30"/>
      <c r="D756" s="30"/>
      <c r="E756" s="30"/>
      <c r="F756" s="30"/>
      <c r="G756" s="30"/>
    </row>
    <row r="757">
      <c r="B757" s="30"/>
      <c r="C757" s="30"/>
      <c r="D757" s="30"/>
      <c r="E757" s="30"/>
      <c r="F757" s="30"/>
      <c r="G757" s="30"/>
    </row>
    <row r="758">
      <c r="B758" s="30"/>
      <c r="C758" s="30"/>
      <c r="D758" s="30"/>
      <c r="E758" s="30"/>
      <c r="F758" s="30"/>
      <c r="G758" s="30"/>
    </row>
    <row r="759">
      <c r="B759" s="30"/>
      <c r="C759" s="30"/>
      <c r="D759" s="30"/>
      <c r="E759" s="30"/>
      <c r="F759" s="30"/>
      <c r="G759" s="30"/>
    </row>
    <row r="760">
      <c r="B760" s="30"/>
      <c r="C760" s="30"/>
      <c r="D760" s="30"/>
      <c r="E760" s="30"/>
      <c r="F760" s="30"/>
      <c r="G760" s="30"/>
    </row>
    <row r="761">
      <c r="B761" s="30"/>
      <c r="C761" s="30"/>
      <c r="D761" s="30"/>
      <c r="E761" s="30"/>
      <c r="F761" s="30"/>
      <c r="G761" s="30"/>
    </row>
    <row r="762">
      <c r="B762" s="30"/>
      <c r="C762" s="30"/>
      <c r="D762" s="30"/>
      <c r="E762" s="30"/>
      <c r="F762" s="30"/>
      <c r="G762" s="30"/>
    </row>
    <row r="763">
      <c r="B763" s="30"/>
      <c r="C763" s="30"/>
      <c r="D763" s="30"/>
      <c r="E763" s="30"/>
      <c r="F763" s="30"/>
      <c r="G763" s="30"/>
    </row>
    <row r="764">
      <c r="B764" s="30"/>
      <c r="C764" s="30"/>
      <c r="D764" s="30"/>
      <c r="E764" s="30"/>
      <c r="F764" s="30"/>
      <c r="G764" s="30"/>
    </row>
    <row r="765">
      <c r="B765" s="30"/>
      <c r="C765" s="30"/>
      <c r="D765" s="30"/>
      <c r="E765" s="30"/>
      <c r="F765" s="30"/>
      <c r="G765" s="30"/>
    </row>
    <row r="766">
      <c r="B766" s="30"/>
      <c r="C766" s="30"/>
      <c r="D766" s="30"/>
      <c r="E766" s="30"/>
      <c r="F766" s="30"/>
      <c r="G766" s="30"/>
    </row>
    <row r="767">
      <c r="B767" s="30"/>
      <c r="C767" s="30"/>
      <c r="D767" s="30"/>
      <c r="E767" s="30"/>
      <c r="F767" s="30"/>
      <c r="G767" s="30"/>
    </row>
    <row r="768">
      <c r="B768" s="30"/>
      <c r="C768" s="30"/>
      <c r="D768" s="30"/>
      <c r="E768" s="30"/>
      <c r="F768" s="30"/>
      <c r="G768" s="30"/>
    </row>
    <row r="769">
      <c r="B769" s="30"/>
      <c r="C769" s="30"/>
      <c r="D769" s="30"/>
      <c r="E769" s="30"/>
      <c r="F769" s="30"/>
      <c r="G769" s="30"/>
    </row>
    <row r="770">
      <c r="B770" s="30"/>
      <c r="C770" s="30"/>
      <c r="D770" s="30"/>
      <c r="E770" s="30"/>
      <c r="F770" s="30"/>
      <c r="G770" s="30"/>
    </row>
    <row r="771">
      <c r="B771" s="30"/>
      <c r="C771" s="30"/>
      <c r="D771" s="30"/>
      <c r="E771" s="30"/>
      <c r="F771" s="30"/>
      <c r="G771" s="30"/>
    </row>
    <row r="772">
      <c r="B772" s="30"/>
      <c r="C772" s="30"/>
      <c r="D772" s="30"/>
      <c r="E772" s="30"/>
      <c r="F772" s="30"/>
      <c r="G772" s="30"/>
    </row>
    <row r="773">
      <c r="B773" s="30"/>
      <c r="C773" s="30"/>
      <c r="D773" s="30"/>
      <c r="E773" s="30"/>
      <c r="F773" s="30"/>
      <c r="G773" s="30"/>
    </row>
    <row r="774">
      <c r="B774" s="30"/>
      <c r="C774" s="30"/>
      <c r="D774" s="30"/>
      <c r="E774" s="30"/>
      <c r="F774" s="30"/>
      <c r="G774" s="30"/>
    </row>
    <row r="775">
      <c r="B775" s="30"/>
      <c r="C775" s="30"/>
      <c r="D775" s="30"/>
      <c r="E775" s="30"/>
      <c r="F775" s="30"/>
      <c r="G775" s="30"/>
    </row>
    <row r="776">
      <c r="B776" s="30"/>
      <c r="C776" s="30"/>
      <c r="D776" s="30"/>
      <c r="E776" s="30"/>
      <c r="F776" s="30"/>
      <c r="G776" s="30"/>
    </row>
    <row r="777">
      <c r="B777" s="30"/>
      <c r="C777" s="30"/>
      <c r="D777" s="30"/>
      <c r="E777" s="30"/>
      <c r="F777" s="30"/>
      <c r="G777" s="30"/>
    </row>
    <row r="778">
      <c r="B778" s="30"/>
      <c r="C778" s="30"/>
      <c r="D778" s="30"/>
      <c r="E778" s="30"/>
      <c r="F778" s="30"/>
      <c r="G778" s="30"/>
    </row>
    <row r="779">
      <c r="B779" s="30"/>
      <c r="C779" s="30"/>
      <c r="D779" s="30"/>
      <c r="E779" s="30"/>
      <c r="F779" s="30"/>
      <c r="G779" s="30"/>
    </row>
    <row r="780">
      <c r="B780" s="30"/>
      <c r="C780" s="30"/>
      <c r="D780" s="30"/>
      <c r="E780" s="30"/>
      <c r="F780" s="30"/>
      <c r="G780" s="30"/>
    </row>
    <row r="781">
      <c r="B781" s="30"/>
      <c r="C781" s="30"/>
      <c r="D781" s="30"/>
      <c r="E781" s="30"/>
      <c r="F781" s="30"/>
      <c r="G781" s="30"/>
    </row>
    <row r="782">
      <c r="B782" s="30"/>
      <c r="C782" s="30"/>
      <c r="D782" s="30"/>
      <c r="E782" s="30"/>
      <c r="F782" s="30"/>
      <c r="G782" s="30"/>
    </row>
    <row r="783">
      <c r="B783" s="30"/>
      <c r="C783" s="30"/>
      <c r="D783" s="30"/>
      <c r="E783" s="30"/>
      <c r="F783" s="30"/>
      <c r="G783" s="30"/>
    </row>
    <row r="784">
      <c r="B784" s="30"/>
      <c r="C784" s="30"/>
      <c r="D784" s="30"/>
      <c r="E784" s="30"/>
      <c r="F784" s="30"/>
      <c r="G784" s="30"/>
    </row>
    <row r="785">
      <c r="B785" s="30"/>
      <c r="C785" s="30"/>
      <c r="D785" s="30"/>
      <c r="E785" s="30"/>
      <c r="F785" s="30"/>
      <c r="G785" s="30"/>
    </row>
    <row r="786">
      <c r="B786" s="30"/>
      <c r="C786" s="30"/>
      <c r="D786" s="30"/>
      <c r="E786" s="30"/>
      <c r="F786" s="30"/>
      <c r="G786" s="30"/>
    </row>
    <row r="787">
      <c r="B787" s="30"/>
      <c r="C787" s="30"/>
      <c r="D787" s="30"/>
      <c r="E787" s="30"/>
      <c r="F787" s="30"/>
      <c r="G787" s="30"/>
    </row>
    <row r="788">
      <c r="B788" s="30"/>
      <c r="C788" s="30"/>
      <c r="D788" s="30"/>
      <c r="E788" s="30"/>
      <c r="F788" s="30"/>
      <c r="G788" s="30"/>
    </row>
    <row r="789">
      <c r="B789" s="30"/>
      <c r="C789" s="30"/>
      <c r="D789" s="30"/>
      <c r="E789" s="30"/>
      <c r="F789" s="30"/>
      <c r="G789" s="30"/>
    </row>
    <row r="790">
      <c r="B790" s="30"/>
      <c r="C790" s="30"/>
      <c r="D790" s="30"/>
      <c r="E790" s="30"/>
      <c r="F790" s="30"/>
      <c r="G790" s="30"/>
    </row>
    <row r="791">
      <c r="B791" s="30"/>
      <c r="C791" s="30"/>
      <c r="D791" s="30"/>
      <c r="E791" s="30"/>
      <c r="F791" s="30"/>
      <c r="G791" s="30"/>
    </row>
    <row r="792">
      <c r="B792" s="30"/>
      <c r="C792" s="30"/>
      <c r="D792" s="30"/>
      <c r="E792" s="30"/>
      <c r="F792" s="30"/>
      <c r="G792" s="30"/>
    </row>
    <row r="793">
      <c r="B793" s="30"/>
      <c r="C793" s="30"/>
      <c r="D793" s="30"/>
      <c r="E793" s="30"/>
      <c r="F793" s="30"/>
      <c r="G793" s="30"/>
    </row>
    <row r="794">
      <c r="B794" s="30"/>
      <c r="C794" s="30"/>
      <c r="D794" s="30"/>
      <c r="E794" s="30"/>
      <c r="F794" s="30"/>
      <c r="G794" s="30"/>
    </row>
    <row r="795">
      <c r="B795" s="30"/>
      <c r="C795" s="30"/>
      <c r="D795" s="30"/>
      <c r="E795" s="30"/>
      <c r="F795" s="30"/>
      <c r="G795" s="30"/>
    </row>
    <row r="796">
      <c r="B796" s="30"/>
      <c r="C796" s="30"/>
      <c r="D796" s="30"/>
      <c r="E796" s="30"/>
      <c r="F796" s="30"/>
      <c r="G796" s="30"/>
    </row>
    <row r="797">
      <c r="B797" s="30"/>
      <c r="C797" s="30"/>
      <c r="D797" s="30"/>
      <c r="E797" s="30"/>
      <c r="F797" s="30"/>
      <c r="G797" s="30"/>
    </row>
    <row r="798">
      <c r="B798" s="30"/>
      <c r="C798" s="30"/>
      <c r="D798" s="30"/>
      <c r="E798" s="30"/>
      <c r="F798" s="30"/>
      <c r="G798" s="30"/>
    </row>
    <row r="799">
      <c r="B799" s="30"/>
      <c r="C799" s="30"/>
      <c r="D799" s="30"/>
      <c r="E799" s="30"/>
      <c r="F799" s="30"/>
      <c r="G799" s="30"/>
    </row>
    <row r="800">
      <c r="B800" s="30"/>
      <c r="C800" s="30"/>
      <c r="D800" s="30"/>
      <c r="E800" s="30"/>
      <c r="F800" s="30"/>
      <c r="G800" s="30"/>
    </row>
    <row r="801">
      <c r="B801" s="30"/>
      <c r="C801" s="30"/>
      <c r="D801" s="30"/>
      <c r="E801" s="30"/>
      <c r="F801" s="30"/>
      <c r="G801" s="30"/>
    </row>
    <row r="802">
      <c r="B802" s="30"/>
      <c r="C802" s="30"/>
      <c r="D802" s="30"/>
      <c r="E802" s="30"/>
      <c r="F802" s="30"/>
      <c r="G802" s="30"/>
    </row>
    <row r="803">
      <c r="B803" s="30"/>
      <c r="C803" s="30"/>
      <c r="D803" s="30"/>
      <c r="E803" s="30"/>
      <c r="F803" s="30"/>
      <c r="G803" s="30"/>
    </row>
    <row r="804">
      <c r="B804" s="30"/>
      <c r="C804" s="30"/>
      <c r="D804" s="30"/>
      <c r="E804" s="30"/>
      <c r="F804" s="30"/>
      <c r="G804" s="30"/>
    </row>
    <row r="805">
      <c r="B805" s="30"/>
      <c r="C805" s="30"/>
      <c r="D805" s="30"/>
      <c r="E805" s="30"/>
      <c r="F805" s="30"/>
      <c r="G805" s="30"/>
    </row>
    <row r="806">
      <c r="B806" s="30"/>
      <c r="C806" s="30"/>
      <c r="D806" s="30"/>
      <c r="E806" s="30"/>
      <c r="F806" s="30"/>
      <c r="G806" s="30"/>
    </row>
    <row r="807">
      <c r="B807" s="30"/>
      <c r="C807" s="30"/>
      <c r="D807" s="30"/>
      <c r="E807" s="30"/>
      <c r="F807" s="30"/>
      <c r="G807" s="30"/>
    </row>
    <row r="808">
      <c r="B808" s="30"/>
      <c r="C808" s="30"/>
      <c r="D808" s="30"/>
      <c r="E808" s="30"/>
      <c r="F808" s="30"/>
      <c r="G808" s="30"/>
    </row>
    <row r="809">
      <c r="B809" s="30"/>
      <c r="C809" s="30"/>
      <c r="D809" s="30"/>
      <c r="E809" s="30"/>
      <c r="F809" s="30"/>
      <c r="G809" s="30"/>
    </row>
    <row r="810">
      <c r="B810" s="30"/>
      <c r="C810" s="30"/>
      <c r="D810" s="30"/>
      <c r="E810" s="30"/>
      <c r="F810" s="30"/>
      <c r="G810" s="30"/>
    </row>
    <row r="811">
      <c r="B811" s="30"/>
      <c r="C811" s="30"/>
      <c r="D811" s="30"/>
      <c r="E811" s="30"/>
      <c r="F811" s="30"/>
      <c r="G811" s="30"/>
    </row>
    <row r="812">
      <c r="B812" s="30"/>
      <c r="C812" s="30"/>
      <c r="D812" s="30"/>
      <c r="E812" s="30"/>
      <c r="F812" s="30"/>
      <c r="G812" s="30"/>
    </row>
    <row r="813">
      <c r="B813" s="30"/>
      <c r="C813" s="30"/>
      <c r="D813" s="30"/>
      <c r="E813" s="30"/>
      <c r="F813" s="30"/>
      <c r="G813" s="30"/>
    </row>
    <row r="814">
      <c r="B814" s="30"/>
      <c r="C814" s="30"/>
      <c r="D814" s="30"/>
      <c r="E814" s="30"/>
      <c r="F814" s="30"/>
      <c r="G814" s="30"/>
    </row>
    <row r="815">
      <c r="B815" s="30"/>
      <c r="C815" s="30"/>
      <c r="D815" s="30"/>
      <c r="E815" s="30"/>
      <c r="F815" s="30"/>
      <c r="G815" s="30"/>
    </row>
    <row r="816">
      <c r="B816" s="30"/>
      <c r="C816" s="30"/>
      <c r="D816" s="30"/>
      <c r="E816" s="30"/>
      <c r="F816" s="30"/>
      <c r="G816" s="30"/>
    </row>
    <row r="817">
      <c r="B817" s="30"/>
      <c r="C817" s="30"/>
      <c r="D817" s="30"/>
      <c r="E817" s="30"/>
      <c r="F817" s="30"/>
      <c r="G817" s="30"/>
    </row>
    <row r="818">
      <c r="B818" s="30"/>
      <c r="C818" s="30"/>
      <c r="D818" s="30"/>
      <c r="E818" s="30"/>
      <c r="F818" s="30"/>
      <c r="G818" s="30"/>
    </row>
    <row r="819">
      <c r="B819" s="30"/>
      <c r="C819" s="30"/>
      <c r="D819" s="30"/>
      <c r="E819" s="30"/>
      <c r="F819" s="30"/>
      <c r="G819" s="30"/>
    </row>
    <row r="820">
      <c r="B820" s="30"/>
      <c r="C820" s="30"/>
      <c r="D820" s="30"/>
      <c r="E820" s="30"/>
      <c r="F820" s="30"/>
      <c r="G820" s="30"/>
    </row>
    <row r="821">
      <c r="B821" s="30"/>
      <c r="C821" s="30"/>
      <c r="D821" s="30"/>
      <c r="E821" s="30"/>
      <c r="F821" s="30"/>
      <c r="G821" s="30"/>
    </row>
    <row r="822">
      <c r="B822" s="30"/>
      <c r="C822" s="30"/>
      <c r="D822" s="30"/>
      <c r="E822" s="30"/>
      <c r="F822" s="30"/>
      <c r="G822" s="30"/>
    </row>
    <row r="823">
      <c r="B823" s="30"/>
      <c r="C823" s="30"/>
      <c r="D823" s="30"/>
      <c r="E823" s="30"/>
      <c r="F823" s="30"/>
      <c r="G823" s="30"/>
    </row>
    <row r="824">
      <c r="B824" s="30"/>
      <c r="C824" s="30"/>
      <c r="D824" s="30"/>
      <c r="E824" s="30"/>
      <c r="F824" s="30"/>
      <c r="G824" s="30"/>
    </row>
    <row r="825">
      <c r="B825" s="30"/>
      <c r="C825" s="30"/>
      <c r="D825" s="30"/>
      <c r="E825" s="30"/>
      <c r="F825" s="30"/>
      <c r="G825" s="30"/>
    </row>
    <row r="826">
      <c r="B826" s="30"/>
      <c r="C826" s="30"/>
      <c r="D826" s="30"/>
      <c r="E826" s="30"/>
      <c r="F826" s="30"/>
      <c r="G826" s="30"/>
    </row>
    <row r="827">
      <c r="B827" s="30"/>
      <c r="C827" s="30"/>
      <c r="D827" s="30"/>
      <c r="E827" s="30"/>
      <c r="F827" s="30"/>
      <c r="G827" s="30"/>
    </row>
    <row r="828">
      <c r="B828" s="30"/>
      <c r="C828" s="30"/>
      <c r="D828" s="30"/>
      <c r="E828" s="30"/>
      <c r="F828" s="30"/>
      <c r="G828" s="30"/>
    </row>
    <row r="829">
      <c r="B829" s="30"/>
      <c r="C829" s="30"/>
      <c r="D829" s="30"/>
      <c r="E829" s="30"/>
      <c r="F829" s="30"/>
      <c r="G829" s="30"/>
    </row>
    <row r="830">
      <c r="B830" s="30"/>
      <c r="C830" s="30"/>
      <c r="D830" s="30"/>
      <c r="E830" s="30"/>
      <c r="F830" s="30"/>
      <c r="G830" s="30"/>
    </row>
    <row r="831">
      <c r="B831" s="30"/>
      <c r="C831" s="30"/>
      <c r="D831" s="30"/>
      <c r="E831" s="30"/>
      <c r="F831" s="30"/>
      <c r="G831" s="30"/>
    </row>
    <row r="832">
      <c r="B832" s="30"/>
      <c r="C832" s="30"/>
      <c r="D832" s="30"/>
      <c r="E832" s="30"/>
      <c r="F832" s="30"/>
      <c r="G832" s="30"/>
    </row>
    <row r="833">
      <c r="B833" s="30"/>
      <c r="C833" s="30"/>
      <c r="D833" s="30"/>
      <c r="E833" s="30"/>
      <c r="F833" s="30"/>
      <c r="G833" s="30"/>
    </row>
    <row r="834">
      <c r="B834" s="30"/>
      <c r="C834" s="30"/>
      <c r="D834" s="30"/>
      <c r="E834" s="30"/>
      <c r="F834" s="30"/>
      <c r="G834" s="30"/>
    </row>
    <row r="835">
      <c r="B835" s="30"/>
      <c r="C835" s="30"/>
      <c r="D835" s="30"/>
      <c r="E835" s="30"/>
      <c r="F835" s="30"/>
      <c r="G835" s="30"/>
    </row>
    <row r="836">
      <c r="B836" s="30"/>
      <c r="C836" s="30"/>
      <c r="D836" s="30"/>
      <c r="E836" s="30"/>
      <c r="F836" s="30"/>
      <c r="G836" s="30"/>
    </row>
    <row r="837">
      <c r="B837" s="30"/>
      <c r="C837" s="30"/>
      <c r="D837" s="30"/>
      <c r="E837" s="30"/>
      <c r="F837" s="30"/>
      <c r="G837" s="30"/>
    </row>
    <row r="838">
      <c r="B838" s="30"/>
      <c r="C838" s="30"/>
      <c r="D838" s="30"/>
      <c r="E838" s="30"/>
      <c r="F838" s="30"/>
      <c r="G838" s="30"/>
    </row>
    <row r="839">
      <c r="B839" s="30"/>
      <c r="C839" s="30"/>
      <c r="D839" s="30"/>
      <c r="E839" s="30"/>
      <c r="F839" s="30"/>
      <c r="G839" s="30"/>
    </row>
    <row r="840">
      <c r="B840" s="30"/>
      <c r="C840" s="30"/>
      <c r="D840" s="30"/>
      <c r="E840" s="30"/>
      <c r="F840" s="30"/>
      <c r="G840" s="30"/>
    </row>
    <row r="841">
      <c r="B841" s="30"/>
      <c r="C841" s="30"/>
      <c r="D841" s="30"/>
      <c r="E841" s="30"/>
      <c r="F841" s="30"/>
      <c r="G841" s="30"/>
    </row>
    <row r="842">
      <c r="B842" s="30"/>
      <c r="C842" s="30"/>
      <c r="D842" s="30"/>
      <c r="E842" s="30"/>
      <c r="F842" s="30"/>
      <c r="G842" s="30"/>
    </row>
    <row r="843">
      <c r="B843" s="30"/>
      <c r="C843" s="30"/>
      <c r="D843" s="30"/>
      <c r="E843" s="30"/>
      <c r="F843" s="30"/>
      <c r="G843" s="30"/>
    </row>
    <row r="844">
      <c r="B844" s="30"/>
      <c r="C844" s="30"/>
      <c r="D844" s="30"/>
      <c r="E844" s="30"/>
      <c r="F844" s="30"/>
      <c r="G844" s="30"/>
    </row>
    <row r="845">
      <c r="B845" s="30"/>
      <c r="C845" s="30"/>
      <c r="D845" s="30"/>
      <c r="E845" s="30"/>
      <c r="F845" s="30"/>
      <c r="G845" s="30"/>
    </row>
    <row r="846">
      <c r="B846" s="30"/>
      <c r="C846" s="30"/>
      <c r="D846" s="30"/>
      <c r="E846" s="30"/>
      <c r="F846" s="30"/>
      <c r="G846" s="30"/>
    </row>
    <row r="847">
      <c r="B847" s="30"/>
      <c r="C847" s="30"/>
      <c r="D847" s="30"/>
      <c r="E847" s="30"/>
      <c r="F847" s="30"/>
      <c r="G847" s="30"/>
    </row>
    <row r="848">
      <c r="B848" s="30"/>
      <c r="C848" s="30"/>
      <c r="D848" s="30"/>
      <c r="E848" s="30"/>
      <c r="F848" s="30"/>
      <c r="G848" s="30"/>
    </row>
    <row r="849">
      <c r="B849" s="30"/>
      <c r="C849" s="30"/>
      <c r="D849" s="30"/>
      <c r="E849" s="30"/>
      <c r="F849" s="30"/>
      <c r="G849" s="30"/>
    </row>
    <row r="850">
      <c r="B850" s="30"/>
      <c r="C850" s="30"/>
      <c r="D850" s="30"/>
      <c r="E850" s="30"/>
      <c r="F850" s="30"/>
      <c r="G850" s="30"/>
    </row>
    <row r="851">
      <c r="B851" s="30"/>
      <c r="C851" s="30"/>
      <c r="D851" s="30"/>
      <c r="E851" s="30"/>
      <c r="F851" s="30"/>
      <c r="G851" s="30"/>
    </row>
    <row r="852">
      <c r="B852" s="30"/>
      <c r="C852" s="30"/>
      <c r="D852" s="30"/>
      <c r="E852" s="30"/>
      <c r="F852" s="30"/>
      <c r="G852" s="30"/>
    </row>
    <row r="853">
      <c r="B853" s="30"/>
      <c r="C853" s="30"/>
      <c r="D853" s="30"/>
      <c r="E853" s="30"/>
      <c r="F853" s="30"/>
      <c r="G853" s="30"/>
    </row>
    <row r="854">
      <c r="B854" s="30"/>
      <c r="C854" s="30"/>
      <c r="D854" s="30"/>
      <c r="E854" s="30"/>
      <c r="F854" s="30"/>
      <c r="G854" s="30"/>
    </row>
    <row r="855">
      <c r="B855" s="30"/>
      <c r="C855" s="30"/>
      <c r="D855" s="30"/>
      <c r="E855" s="30"/>
      <c r="F855" s="30"/>
      <c r="G855" s="30"/>
    </row>
    <row r="856">
      <c r="B856" s="30"/>
      <c r="C856" s="30"/>
      <c r="D856" s="30"/>
      <c r="E856" s="30"/>
      <c r="F856" s="30"/>
      <c r="G856" s="30"/>
    </row>
    <row r="857">
      <c r="B857" s="30"/>
      <c r="C857" s="30"/>
      <c r="D857" s="30"/>
      <c r="E857" s="30"/>
      <c r="F857" s="30"/>
      <c r="G857" s="30"/>
    </row>
    <row r="858">
      <c r="B858" s="30"/>
      <c r="C858" s="30"/>
      <c r="D858" s="30"/>
      <c r="E858" s="30"/>
      <c r="F858" s="30"/>
      <c r="G858" s="30"/>
    </row>
    <row r="859">
      <c r="B859" s="30"/>
      <c r="C859" s="30"/>
      <c r="D859" s="30"/>
      <c r="E859" s="30"/>
      <c r="F859" s="30"/>
      <c r="G859" s="30"/>
    </row>
    <row r="860">
      <c r="B860" s="30"/>
      <c r="C860" s="30"/>
      <c r="D860" s="30"/>
      <c r="E860" s="30"/>
      <c r="F860" s="30"/>
      <c r="G860" s="30"/>
    </row>
    <row r="861">
      <c r="B861" s="30"/>
      <c r="C861" s="30"/>
      <c r="D861" s="30"/>
      <c r="E861" s="30"/>
      <c r="F861" s="30"/>
      <c r="G861" s="30"/>
    </row>
    <row r="862">
      <c r="B862" s="30"/>
      <c r="C862" s="30"/>
      <c r="D862" s="30"/>
      <c r="E862" s="30"/>
      <c r="F862" s="30"/>
      <c r="G862" s="30"/>
    </row>
    <row r="863">
      <c r="B863" s="30"/>
      <c r="C863" s="30"/>
      <c r="D863" s="30"/>
      <c r="E863" s="30"/>
      <c r="F863" s="30"/>
      <c r="G863" s="30"/>
    </row>
    <row r="864">
      <c r="B864" s="30"/>
      <c r="C864" s="30"/>
      <c r="D864" s="30"/>
      <c r="E864" s="30"/>
      <c r="F864" s="30"/>
      <c r="G864" s="30"/>
    </row>
    <row r="865">
      <c r="B865" s="30"/>
      <c r="C865" s="30"/>
      <c r="D865" s="30"/>
      <c r="E865" s="30"/>
      <c r="F865" s="30"/>
      <c r="G865" s="30"/>
    </row>
    <row r="866">
      <c r="B866" s="30"/>
      <c r="C866" s="30"/>
      <c r="D866" s="30"/>
      <c r="E866" s="30"/>
      <c r="F866" s="30"/>
      <c r="G866" s="30"/>
    </row>
    <row r="867">
      <c r="B867" s="30"/>
      <c r="C867" s="30"/>
      <c r="D867" s="30"/>
      <c r="E867" s="30"/>
      <c r="F867" s="30"/>
      <c r="G867" s="30"/>
    </row>
    <row r="868">
      <c r="B868" s="30"/>
      <c r="C868" s="30"/>
      <c r="D868" s="30"/>
      <c r="E868" s="30"/>
      <c r="F868" s="30"/>
      <c r="G868" s="30"/>
    </row>
    <row r="869">
      <c r="B869" s="30"/>
      <c r="C869" s="30"/>
      <c r="D869" s="30"/>
      <c r="E869" s="30"/>
      <c r="F869" s="30"/>
      <c r="G869" s="30"/>
    </row>
    <row r="870">
      <c r="B870" s="30"/>
      <c r="C870" s="30"/>
      <c r="D870" s="30"/>
      <c r="E870" s="30"/>
      <c r="F870" s="30"/>
      <c r="G870" s="30"/>
    </row>
    <row r="871">
      <c r="B871" s="30"/>
      <c r="C871" s="30"/>
      <c r="D871" s="30"/>
      <c r="E871" s="30"/>
      <c r="F871" s="30"/>
      <c r="G871" s="30"/>
    </row>
    <row r="872">
      <c r="B872" s="30"/>
      <c r="C872" s="30"/>
      <c r="D872" s="30"/>
      <c r="E872" s="30"/>
      <c r="F872" s="30"/>
      <c r="G872" s="30"/>
    </row>
    <row r="873">
      <c r="B873" s="30"/>
      <c r="C873" s="30"/>
      <c r="D873" s="30"/>
      <c r="E873" s="30"/>
      <c r="F873" s="30"/>
      <c r="G873" s="30"/>
    </row>
    <row r="874">
      <c r="B874" s="30"/>
      <c r="C874" s="30"/>
      <c r="D874" s="30"/>
      <c r="E874" s="30"/>
      <c r="F874" s="30"/>
      <c r="G874" s="30"/>
    </row>
    <row r="875">
      <c r="B875" s="30"/>
      <c r="C875" s="30"/>
      <c r="D875" s="30"/>
      <c r="E875" s="30"/>
      <c r="F875" s="30"/>
      <c r="G875" s="30"/>
    </row>
    <row r="876">
      <c r="B876" s="30"/>
      <c r="C876" s="30"/>
      <c r="D876" s="30"/>
      <c r="E876" s="30"/>
      <c r="F876" s="30"/>
      <c r="G876" s="30"/>
    </row>
    <row r="877">
      <c r="B877" s="30"/>
      <c r="C877" s="30"/>
      <c r="D877" s="30"/>
      <c r="E877" s="30"/>
      <c r="F877" s="30"/>
      <c r="G877" s="30"/>
    </row>
    <row r="878">
      <c r="B878" s="30"/>
      <c r="C878" s="30"/>
      <c r="D878" s="30"/>
      <c r="E878" s="30"/>
      <c r="F878" s="30"/>
      <c r="G878" s="30"/>
    </row>
    <row r="879">
      <c r="B879" s="30"/>
      <c r="C879" s="30"/>
      <c r="D879" s="30"/>
      <c r="E879" s="30"/>
      <c r="F879" s="30"/>
      <c r="G879" s="30"/>
    </row>
    <row r="880">
      <c r="B880" s="30"/>
      <c r="C880" s="30"/>
      <c r="D880" s="30"/>
      <c r="E880" s="30"/>
      <c r="F880" s="30"/>
      <c r="G880" s="30"/>
    </row>
    <row r="881">
      <c r="B881" s="30"/>
      <c r="C881" s="30"/>
      <c r="D881" s="30"/>
      <c r="E881" s="30"/>
      <c r="F881" s="30"/>
      <c r="G881" s="30"/>
    </row>
    <row r="882">
      <c r="B882" s="30"/>
      <c r="C882" s="30"/>
      <c r="D882" s="30"/>
      <c r="E882" s="30"/>
      <c r="F882" s="30"/>
      <c r="G882" s="30"/>
    </row>
    <row r="883">
      <c r="B883" s="30"/>
      <c r="C883" s="30"/>
      <c r="D883" s="30"/>
      <c r="E883" s="30"/>
      <c r="F883" s="30"/>
      <c r="G883" s="30"/>
    </row>
    <row r="884">
      <c r="B884" s="30"/>
      <c r="C884" s="30"/>
      <c r="D884" s="30"/>
      <c r="E884" s="30"/>
      <c r="F884" s="30"/>
      <c r="G884" s="30"/>
    </row>
    <row r="885">
      <c r="B885" s="30"/>
      <c r="C885" s="30"/>
      <c r="D885" s="30"/>
      <c r="E885" s="30"/>
      <c r="F885" s="30"/>
      <c r="G885" s="30"/>
    </row>
    <row r="886">
      <c r="B886" s="30"/>
      <c r="C886" s="30"/>
      <c r="D886" s="30"/>
      <c r="E886" s="30"/>
      <c r="F886" s="30"/>
      <c r="G886" s="30"/>
    </row>
    <row r="887">
      <c r="B887" s="30"/>
      <c r="C887" s="30"/>
      <c r="D887" s="30"/>
      <c r="E887" s="30"/>
      <c r="F887" s="30"/>
      <c r="G887" s="30"/>
    </row>
    <row r="888">
      <c r="B888" s="30"/>
      <c r="C888" s="30"/>
      <c r="D888" s="30"/>
      <c r="E888" s="30"/>
      <c r="F888" s="30"/>
      <c r="G888" s="30"/>
    </row>
    <row r="889">
      <c r="B889" s="30"/>
      <c r="C889" s="30"/>
      <c r="D889" s="30"/>
      <c r="E889" s="30"/>
      <c r="F889" s="30"/>
      <c r="G889" s="30"/>
    </row>
    <row r="890">
      <c r="B890" s="30"/>
      <c r="C890" s="30"/>
      <c r="D890" s="30"/>
      <c r="E890" s="30"/>
      <c r="F890" s="30"/>
      <c r="G890" s="30"/>
    </row>
    <row r="891">
      <c r="B891" s="30"/>
      <c r="C891" s="30"/>
      <c r="D891" s="30"/>
      <c r="E891" s="30"/>
      <c r="F891" s="30"/>
      <c r="G891" s="30"/>
    </row>
    <row r="892">
      <c r="B892" s="30"/>
      <c r="C892" s="30"/>
      <c r="D892" s="30"/>
      <c r="E892" s="30"/>
      <c r="F892" s="30"/>
      <c r="G892" s="30"/>
    </row>
    <row r="893">
      <c r="B893" s="30"/>
      <c r="C893" s="30"/>
      <c r="D893" s="30"/>
      <c r="E893" s="30"/>
      <c r="F893" s="30"/>
      <c r="G893" s="30"/>
    </row>
    <row r="894">
      <c r="B894" s="30"/>
      <c r="C894" s="30"/>
      <c r="D894" s="30"/>
      <c r="E894" s="30"/>
      <c r="F894" s="30"/>
      <c r="G894" s="30"/>
    </row>
    <row r="895">
      <c r="B895" s="30"/>
      <c r="C895" s="30"/>
      <c r="D895" s="30"/>
      <c r="E895" s="30"/>
      <c r="F895" s="30"/>
      <c r="G895" s="30"/>
    </row>
    <row r="896">
      <c r="B896" s="30"/>
      <c r="C896" s="30"/>
      <c r="D896" s="30"/>
      <c r="E896" s="30"/>
      <c r="F896" s="30"/>
      <c r="G896" s="30"/>
    </row>
    <row r="897">
      <c r="B897" s="30"/>
      <c r="C897" s="30"/>
      <c r="D897" s="30"/>
      <c r="E897" s="30"/>
      <c r="F897" s="30"/>
      <c r="G897" s="30"/>
    </row>
    <row r="898">
      <c r="B898" s="30"/>
      <c r="C898" s="30"/>
      <c r="D898" s="30"/>
      <c r="E898" s="30"/>
      <c r="F898" s="30"/>
      <c r="G898" s="30"/>
    </row>
    <row r="899">
      <c r="B899" s="30"/>
      <c r="C899" s="30"/>
      <c r="D899" s="30"/>
      <c r="E899" s="30"/>
      <c r="F899" s="30"/>
      <c r="G899" s="30"/>
    </row>
    <row r="900">
      <c r="B900" s="30"/>
      <c r="C900" s="30"/>
      <c r="D900" s="30"/>
      <c r="E900" s="30"/>
      <c r="F900" s="30"/>
      <c r="G900" s="30"/>
    </row>
    <row r="901">
      <c r="B901" s="30"/>
      <c r="C901" s="30"/>
      <c r="D901" s="30"/>
      <c r="E901" s="30"/>
      <c r="F901" s="30"/>
      <c r="G901" s="30"/>
    </row>
    <row r="902">
      <c r="B902" s="30"/>
      <c r="C902" s="30"/>
      <c r="D902" s="30"/>
      <c r="E902" s="30"/>
      <c r="F902" s="30"/>
      <c r="G902" s="30"/>
    </row>
    <row r="903">
      <c r="B903" s="30"/>
      <c r="C903" s="30"/>
      <c r="D903" s="30"/>
      <c r="E903" s="30"/>
      <c r="F903" s="30"/>
      <c r="G903" s="30"/>
    </row>
    <row r="904">
      <c r="B904" s="30"/>
      <c r="C904" s="30"/>
      <c r="D904" s="30"/>
      <c r="E904" s="30"/>
      <c r="F904" s="30"/>
      <c r="G904" s="30"/>
    </row>
    <row r="905">
      <c r="B905" s="30"/>
      <c r="C905" s="30"/>
      <c r="D905" s="30"/>
      <c r="E905" s="30"/>
      <c r="F905" s="30"/>
      <c r="G905" s="30"/>
    </row>
    <row r="906">
      <c r="B906" s="30"/>
      <c r="C906" s="30"/>
      <c r="D906" s="30"/>
      <c r="E906" s="30"/>
      <c r="F906" s="30"/>
      <c r="G906" s="30"/>
    </row>
    <row r="907">
      <c r="B907" s="30"/>
      <c r="C907" s="30"/>
      <c r="D907" s="30"/>
      <c r="E907" s="30"/>
      <c r="F907" s="30"/>
      <c r="G907" s="30"/>
    </row>
    <row r="908">
      <c r="B908" s="30"/>
      <c r="C908" s="30"/>
      <c r="D908" s="30"/>
      <c r="E908" s="30"/>
      <c r="F908" s="30"/>
      <c r="G908" s="30"/>
    </row>
    <row r="909">
      <c r="B909" s="30"/>
      <c r="C909" s="30"/>
      <c r="D909" s="30"/>
      <c r="E909" s="30"/>
      <c r="F909" s="30"/>
      <c r="G909" s="30"/>
    </row>
    <row r="910">
      <c r="B910" s="30"/>
      <c r="C910" s="30"/>
      <c r="D910" s="30"/>
      <c r="E910" s="30"/>
      <c r="F910" s="30"/>
      <c r="G910" s="30"/>
    </row>
    <row r="911">
      <c r="B911" s="30"/>
      <c r="C911" s="30"/>
      <c r="D911" s="30"/>
      <c r="E911" s="30"/>
      <c r="F911" s="30"/>
      <c r="G911" s="30"/>
    </row>
    <row r="912">
      <c r="B912" s="30"/>
      <c r="C912" s="30"/>
      <c r="D912" s="30"/>
      <c r="E912" s="30"/>
      <c r="F912" s="30"/>
      <c r="G912" s="30"/>
    </row>
    <row r="913">
      <c r="B913" s="30"/>
      <c r="C913" s="30"/>
      <c r="D913" s="30"/>
      <c r="E913" s="30"/>
      <c r="F913" s="30"/>
      <c r="G913" s="30"/>
    </row>
    <row r="914">
      <c r="B914" s="30"/>
      <c r="C914" s="30"/>
      <c r="D914" s="30"/>
      <c r="E914" s="30"/>
      <c r="F914" s="30"/>
      <c r="G914" s="30"/>
    </row>
    <row r="915">
      <c r="B915" s="30"/>
      <c r="C915" s="30"/>
      <c r="D915" s="30"/>
      <c r="E915" s="30"/>
      <c r="F915" s="30"/>
      <c r="G915" s="30"/>
    </row>
    <row r="916">
      <c r="B916" s="30"/>
      <c r="C916" s="30"/>
      <c r="D916" s="30"/>
      <c r="E916" s="30"/>
      <c r="F916" s="30"/>
      <c r="G916" s="30"/>
    </row>
    <row r="917">
      <c r="B917" s="30"/>
      <c r="C917" s="30"/>
      <c r="D917" s="30"/>
      <c r="E917" s="30"/>
      <c r="F917" s="30"/>
      <c r="G917" s="30"/>
    </row>
    <row r="918">
      <c r="B918" s="30"/>
      <c r="C918" s="30"/>
      <c r="D918" s="30"/>
      <c r="E918" s="30"/>
      <c r="F918" s="30"/>
      <c r="G918" s="30"/>
    </row>
    <row r="919">
      <c r="B919" s="30"/>
      <c r="C919" s="30"/>
      <c r="D919" s="30"/>
      <c r="E919" s="30"/>
      <c r="F919" s="30"/>
      <c r="G919" s="30"/>
    </row>
    <row r="920">
      <c r="B920" s="30"/>
      <c r="C920" s="30"/>
      <c r="D920" s="30"/>
      <c r="E920" s="30"/>
      <c r="F920" s="30"/>
      <c r="G920" s="30"/>
    </row>
    <row r="921">
      <c r="B921" s="30"/>
      <c r="C921" s="30"/>
      <c r="D921" s="30"/>
      <c r="E921" s="30"/>
      <c r="F921" s="30"/>
      <c r="G921" s="30"/>
    </row>
    <row r="922">
      <c r="B922" s="30"/>
      <c r="C922" s="30"/>
      <c r="D922" s="30"/>
      <c r="E922" s="30"/>
      <c r="F922" s="30"/>
      <c r="G922" s="30"/>
    </row>
    <row r="923">
      <c r="B923" s="30"/>
      <c r="C923" s="30"/>
      <c r="D923" s="30"/>
      <c r="E923" s="30"/>
      <c r="F923" s="30"/>
      <c r="G923" s="30"/>
    </row>
    <row r="924">
      <c r="B924" s="30"/>
      <c r="C924" s="30"/>
      <c r="D924" s="30"/>
      <c r="E924" s="30"/>
      <c r="F924" s="30"/>
      <c r="G924" s="30"/>
    </row>
    <row r="925">
      <c r="B925" s="30"/>
      <c r="C925" s="30"/>
      <c r="D925" s="30"/>
      <c r="E925" s="30"/>
      <c r="F925" s="30"/>
      <c r="G925" s="30"/>
    </row>
    <row r="926">
      <c r="B926" s="30"/>
      <c r="C926" s="30"/>
      <c r="D926" s="30"/>
      <c r="E926" s="30"/>
      <c r="F926" s="30"/>
      <c r="G926" s="30"/>
    </row>
    <row r="927">
      <c r="B927" s="30"/>
      <c r="C927" s="30"/>
      <c r="D927" s="30"/>
      <c r="E927" s="30"/>
      <c r="F927" s="30"/>
      <c r="G927" s="30"/>
    </row>
    <row r="928">
      <c r="B928" s="30"/>
      <c r="C928" s="30"/>
      <c r="D928" s="30"/>
      <c r="E928" s="30"/>
      <c r="F928" s="30"/>
      <c r="G928" s="30"/>
    </row>
    <row r="929">
      <c r="B929" s="30"/>
      <c r="C929" s="30"/>
      <c r="D929" s="30"/>
      <c r="E929" s="30"/>
      <c r="F929" s="30"/>
      <c r="G929" s="30"/>
    </row>
    <row r="930">
      <c r="B930" s="30"/>
      <c r="C930" s="30"/>
      <c r="D930" s="30"/>
      <c r="E930" s="30"/>
      <c r="F930" s="30"/>
      <c r="G930" s="30"/>
    </row>
    <row r="931">
      <c r="B931" s="30"/>
      <c r="C931" s="30"/>
      <c r="D931" s="30"/>
      <c r="E931" s="30"/>
      <c r="F931" s="30"/>
      <c r="G931" s="30"/>
    </row>
    <row r="932">
      <c r="B932" s="30"/>
      <c r="C932" s="30"/>
      <c r="D932" s="30"/>
      <c r="E932" s="30"/>
      <c r="F932" s="30"/>
      <c r="G932" s="30"/>
    </row>
    <row r="933">
      <c r="B933" s="30"/>
      <c r="C933" s="30"/>
      <c r="D933" s="30"/>
      <c r="E933" s="30"/>
      <c r="F933" s="30"/>
      <c r="G933" s="30"/>
    </row>
    <row r="934">
      <c r="B934" s="30"/>
      <c r="C934" s="30"/>
      <c r="D934" s="30"/>
      <c r="E934" s="30"/>
      <c r="F934" s="30"/>
      <c r="G934" s="30"/>
    </row>
    <row r="935">
      <c r="B935" s="30"/>
      <c r="C935" s="30"/>
      <c r="D935" s="30"/>
      <c r="E935" s="30"/>
      <c r="F935" s="30"/>
      <c r="G935" s="30"/>
    </row>
    <row r="936">
      <c r="B936" s="30"/>
      <c r="C936" s="30"/>
      <c r="D936" s="30"/>
      <c r="E936" s="30"/>
      <c r="F936" s="30"/>
      <c r="G936" s="30"/>
    </row>
    <row r="937">
      <c r="B937" s="30"/>
      <c r="C937" s="30"/>
      <c r="D937" s="30"/>
      <c r="E937" s="30"/>
      <c r="F937" s="30"/>
      <c r="G937" s="30"/>
    </row>
    <row r="938">
      <c r="B938" s="30"/>
      <c r="C938" s="30"/>
      <c r="D938" s="30"/>
      <c r="E938" s="30"/>
      <c r="F938" s="30"/>
      <c r="G938" s="30"/>
    </row>
    <row r="939">
      <c r="B939" s="30"/>
      <c r="C939" s="30"/>
      <c r="D939" s="30"/>
      <c r="E939" s="30"/>
      <c r="F939" s="30"/>
      <c r="G939" s="30"/>
    </row>
    <row r="940">
      <c r="B940" s="30"/>
      <c r="C940" s="30"/>
      <c r="D940" s="30"/>
      <c r="E940" s="30"/>
      <c r="F940" s="30"/>
      <c r="G940" s="30"/>
    </row>
    <row r="941">
      <c r="B941" s="30"/>
      <c r="C941" s="30"/>
      <c r="D941" s="30"/>
      <c r="E941" s="30"/>
      <c r="F941" s="30"/>
      <c r="G941" s="30"/>
    </row>
    <row r="942">
      <c r="B942" s="30"/>
      <c r="C942" s="30"/>
      <c r="D942" s="30"/>
      <c r="E942" s="30"/>
      <c r="F942" s="30"/>
      <c r="G942" s="30"/>
    </row>
    <row r="943">
      <c r="B943" s="30"/>
      <c r="C943" s="30"/>
      <c r="D943" s="30"/>
      <c r="E943" s="30"/>
      <c r="F943" s="30"/>
      <c r="G943" s="30"/>
    </row>
    <row r="944">
      <c r="B944" s="30"/>
      <c r="C944" s="30"/>
      <c r="D944" s="30"/>
      <c r="E944" s="30"/>
      <c r="F944" s="30"/>
      <c r="G944" s="30"/>
    </row>
    <row r="945">
      <c r="B945" s="30"/>
      <c r="C945" s="30"/>
      <c r="D945" s="30"/>
      <c r="E945" s="30"/>
      <c r="F945" s="30"/>
      <c r="G945" s="30"/>
    </row>
    <row r="946">
      <c r="B946" s="30"/>
      <c r="C946" s="30"/>
      <c r="D946" s="30"/>
      <c r="E946" s="30"/>
      <c r="F946" s="30"/>
      <c r="G946" s="30"/>
    </row>
    <row r="947">
      <c r="B947" s="30"/>
      <c r="C947" s="30"/>
      <c r="D947" s="30"/>
      <c r="E947" s="30"/>
      <c r="F947" s="30"/>
      <c r="G947" s="30"/>
    </row>
    <row r="948">
      <c r="B948" s="30"/>
      <c r="C948" s="30"/>
      <c r="D948" s="30"/>
      <c r="E948" s="30"/>
      <c r="F948" s="30"/>
      <c r="G948" s="30"/>
    </row>
    <row r="949">
      <c r="B949" s="30"/>
      <c r="C949" s="30"/>
      <c r="D949" s="30"/>
      <c r="E949" s="30"/>
      <c r="F949" s="30"/>
      <c r="G949" s="30"/>
    </row>
    <row r="950">
      <c r="B950" s="30"/>
      <c r="C950" s="30"/>
      <c r="D950" s="30"/>
      <c r="E950" s="30"/>
      <c r="F950" s="30"/>
      <c r="G950" s="30"/>
    </row>
    <row r="951">
      <c r="B951" s="30"/>
      <c r="C951" s="30"/>
      <c r="D951" s="30"/>
      <c r="E951" s="30"/>
      <c r="F951" s="30"/>
      <c r="G951" s="30"/>
    </row>
    <row r="952">
      <c r="B952" s="30"/>
      <c r="C952" s="30"/>
      <c r="D952" s="30"/>
      <c r="E952" s="30"/>
      <c r="F952" s="30"/>
      <c r="G952" s="30"/>
    </row>
    <row r="953">
      <c r="B953" s="30"/>
      <c r="C953" s="30"/>
      <c r="D953" s="30"/>
      <c r="E953" s="30"/>
      <c r="F953" s="30"/>
      <c r="G953" s="30"/>
    </row>
    <row r="954">
      <c r="B954" s="30"/>
      <c r="C954" s="30"/>
      <c r="D954" s="30"/>
      <c r="E954" s="30"/>
      <c r="F954" s="30"/>
      <c r="G954" s="30"/>
    </row>
    <row r="955">
      <c r="B955" s="30"/>
      <c r="C955" s="30"/>
      <c r="D955" s="30"/>
      <c r="E955" s="30"/>
      <c r="F955" s="30"/>
      <c r="G955" s="30"/>
    </row>
    <row r="956">
      <c r="B956" s="30"/>
      <c r="C956" s="30"/>
      <c r="D956" s="30"/>
      <c r="E956" s="30"/>
      <c r="F956" s="30"/>
      <c r="G956" s="30"/>
    </row>
    <row r="957">
      <c r="B957" s="30"/>
      <c r="C957" s="30"/>
      <c r="D957" s="30"/>
      <c r="E957" s="30"/>
      <c r="F957" s="30"/>
      <c r="G957" s="30"/>
    </row>
    <row r="958">
      <c r="B958" s="30"/>
      <c r="C958" s="30"/>
      <c r="D958" s="30"/>
      <c r="E958" s="30"/>
      <c r="F958" s="30"/>
      <c r="G958" s="30"/>
    </row>
    <row r="959">
      <c r="B959" s="30"/>
      <c r="C959" s="30"/>
      <c r="D959" s="30"/>
      <c r="E959" s="30"/>
      <c r="F959" s="30"/>
      <c r="G959" s="30"/>
    </row>
    <row r="960">
      <c r="B960" s="30"/>
      <c r="C960" s="30"/>
      <c r="D960" s="30"/>
      <c r="E960" s="30"/>
      <c r="F960" s="30"/>
      <c r="G960" s="30"/>
    </row>
    <row r="961">
      <c r="B961" s="30"/>
      <c r="C961" s="30"/>
      <c r="D961" s="30"/>
      <c r="E961" s="30"/>
      <c r="F961" s="30"/>
      <c r="G961" s="30"/>
    </row>
    <row r="962">
      <c r="B962" s="30"/>
      <c r="C962" s="30"/>
      <c r="D962" s="30"/>
      <c r="E962" s="30"/>
      <c r="F962" s="30"/>
      <c r="G962" s="30"/>
    </row>
    <row r="963">
      <c r="B963" s="30"/>
      <c r="C963" s="30"/>
      <c r="D963" s="30"/>
      <c r="E963" s="30"/>
      <c r="F963" s="30"/>
      <c r="G963" s="30"/>
    </row>
    <row r="964">
      <c r="B964" s="30"/>
      <c r="C964" s="30"/>
      <c r="D964" s="30"/>
      <c r="E964" s="30"/>
      <c r="F964" s="30"/>
      <c r="G964" s="30"/>
    </row>
    <row r="965">
      <c r="B965" s="30"/>
      <c r="C965" s="30"/>
      <c r="D965" s="30"/>
      <c r="E965" s="30"/>
      <c r="F965" s="30"/>
      <c r="G965" s="30"/>
    </row>
    <row r="966">
      <c r="B966" s="30"/>
      <c r="C966" s="30"/>
      <c r="D966" s="30"/>
      <c r="E966" s="30"/>
      <c r="F966" s="30"/>
      <c r="G966" s="30"/>
    </row>
    <row r="967">
      <c r="B967" s="30"/>
      <c r="C967" s="30"/>
      <c r="D967" s="30"/>
      <c r="E967" s="30"/>
      <c r="F967" s="30"/>
      <c r="G967" s="30"/>
    </row>
    <row r="968">
      <c r="B968" s="30"/>
      <c r="C968" s="30"/>
      <c r="D968" s="30"/>
      <c r="E968" s="30"/>
      <c r="F968" s="30"/>
      <c r="G968" s="30"/>
    </row>
    <row r="969">
      <c r="B969" s="30"/>
      <c r="C969" s="30"/>
      <c r="D969" s="30"/>
      <c r="E969" s="30"/>
      <c r="F969" s="30"/>
      <c r="G969" s="30"/>
    </row>
    <row r="970">
      <c r="B970" s="30"/>
      <c r="C970" s="30"/>
      <c r="D970" s="30"/>
      <c r="E970" s="30"/>
      <c r="F970" s="30"/>
      <c r="G970" s="30"/>
    </row>
    <row r="971">
      <c r="B971" s="30"/>
      <c r="C971" s="30"/>
      <c r="D971" s="30"/>
      <c r="E971" s="30"/>
      <c r="F971" s="30"/>
      <c r="G971" s="30"/>
    </row>
    <row r="972">
      <c r="B972" s="30"/>
      <c r="C972" s="30"/>
      <c r="D972" s="30"/>
      <c r="E972" s="30"/>
      <c r="F972" s="30"/>
      <c r="G972" s="30"/>
    </row>
    <row r="973">
      <c r="B973" s="30"/>
      <c r="C973" s="30"/>
      <c r="D973" s="30"/>
      <c r="E973" s="30"/>
      <c r="F973" s="30"/>
      <c r="G973" s="30"/>
    </row>
    <row r="974">
      <c r="B974" s="30"/>
      <c r="C974" s="30"/>
      <c r="D974" s="30"/>
      <c r="E974" s="30"/>
      <c r="F974" s="30"/>
      <c r="G974" s="30"/>
    </row>
    <row r="975">
      <c r="B975" s="30"/>
      <c r="C975" s="30"/>
      <c r="D975" s="30"/>
      <c r="E975" s="30"/>
      <c r="F975" s="30"/>
      <c r="G975" s="30"/>
    </row>
    <row r="976">
      <c r="B976" s="30"/>
      <c r="C976" s="30"/>
      <c r="D976" s="30"/>
      <c r="E976" s="30"/>
      <c r="F976" s="30"/>
      <c r="G976" s="30"/>
    </row>
    <row r="977">
      <c r="B977" s="30"/>
      <c r="C977" s="30"/>
      <c r="D977" s="30"/>
      <c r="E977" s="30"/>
      <c r="F977" s="30"/>
      <c r="G977" s="30"/>
    </row>
    <row r="978">
      <c r="B978" s="30"/>
      <c r="C978" s="30"/>
      <c r="D978" s="30"/>
      <c r="E978" s="30"/>
      <c r="F978" s="30"/>
      <c r="G978" s="30"/>
    </row>
    <row r="979">
      <c r="B979" s="30"/>
      <c r="C979" s="30"/>
      <c r="D979" s="30"/>
      <c r="E979" s="30"/>
      <c r="F979" s="30"/>
      <c r="G979" s="30"/>
    </row>
    <row r="980">
      <c r="B980" s="30"/>
      <c r="C980" s="30"/>
      <c r="D980" s="30"/>
      <c r="E980" s="30"/>
      <c r="F980" s="30"/>
      <c r="G980" s="30"/>
    </row>
    <row r="981">
      <c r="B981" s="30"/>
      <c r="C981" s="30"/>
      <c r="D981" s="30"/>
      <c r="E981" s="30"/>
      <c r="F981" s="30"/>
      <c r="G981" s="30"/>
    </row>
    <row r="982">
      <c r="B982" s="30"/>
      <c r="C982" s="30"/>
      <c r="D982" s="30"/>
      <c r="E982" s="30"/>
      <c r="F982" s="30"/>
      <c r="G982" s="30"/>
    </row>
    <row r="983">
      <c r="B983" s="30"/>
      <c r="C983" s="30"/>
      <c r="D983" s="30"/>
      <c r="E983" s="30"/>
      <c r="F983" s="30"/>
      <c r="G983" s="30"/>
    </row>
    <row r="984">
      <c r="B984" s="30"/>
      <c r="C984" s="30"/>
      <c r="D984" s="30"/>
      <c r="E984" s="30"/>
      <c r="F984" s="30"/>
      <c r="G984" s="30"/>
    </row>
    <row r="985">
      <c r="B985" s="30"/>
      <c r="C985" s="30"/>
      <c r="D985" s="30"/>
      <c r="E985" s="30"/>
      <c r="F985" s="30"/>
      <c r="G985" s="30"/>
    </row>
    <row r="986">
      <c r="B986" s="30"/>
      <c r="C986" s="30"/>
      <c r="D986" s="30"/>
      <c r="E986" s="30"/>
      <c r="F986" s="30"/>
      <c r="G986" s="30"/>
    </row>
    <row r="987">
      <c r="B987" s="30"/>
      <c r="C987" s="30"/>
      <c r="D987" s="30"/>
      <c r="E987" s="30"/>
      <c r="F987" s="30"/>
      <c r="G987" s="30"/>
    </row>
    <row r="988">
      <c r="B988" s="30"/>
      <c r="C988" s="30"/>
      <c r="D988" s="30"/>
      <c r="E988" s="30"/>
      <c r="F988" s="30"/>
      <c r="G988" s="30"/>
    </row>
    <row r="989">
      <c r="B989" s="30"/>
      <c r="C989" s="30"/>
      <c r="D989" s="30"/>
      <c r="E989" s="30"/>
      <c r="F989" s="30"/>
      <c r="G989" s="30"/>
    </row>
    <row r="990">
      <c r="B990" s="30"/>
      <c r="C990" s="30"/>
      <c r="D990" s="30"/>
      <c r="E990" s="30"/>
      <c r="F990" s="30"/>
      <c r="G990" s="30"/>
    </row>
    <row r="991">
      <c r="B991" s="30"/>
      <c r="C991" s="30"/>
      <c r="D991" s="30"/>
      <c r="E991" s="30"/>
      <c r="F991" s="30"/>
      <c r="G991" s="30"/>
    </row>
    <row r="992">
      <c r="B992" s="30"/>
      <c r="C992" s="30"/>
      <c r="D992" s="30"/>
      <c r="E992" s="30"/>
      <c r="F992" s="30"/>
      <c r="G992" s="30"/>
    </row>
    <row r="993">
      <c r="B993" s="30"/>
      <c r="C993" s="30"/>
      <c r="D993" s="30"/>
      <c r="E993" s="30"/>
      <c r="F993" s="30"/>
      <c r="G993" s="30"/>
    </row>
    <row r="994">
      <c r="B994" s="30"/>
      <c r="C994" s="30"/>
      <c r="D994" s="30"/>
      <c r="E994" s="30"/>
      <c r="F994" s="30"/>
      <c r="G994" s="30"/>
    </row>
    <row r="995">
      <c r="B995" s="30"/>
      <c r="C995" s="30"/>
      <c r="D995" s="30"/>
      <c r="E995" s="30"/>
      <c r="F995" s="30"/>
      <c r="G995" s="30"/>
    </row>
    <row r="996">
      <c r="B996" s="30"/>
      <c r="C996" s="30"/>
      <c r="D996" s="30"/>
      <c r="E996" s="30"/>
      <c r="F996" s="30"/>
      <c r="G996" s="30"/>
    </row>
    <row r="997">
      <c r="B997" s="30"/>
      <c r="C997" s="30"/>
      <c r="D997" s="30"/>
      <c r="E997" s="30"/>
      <c r="F997" s="30"/>
      <c r="G997" s="30"/>
    </row>
    <row r="998">
      <c r="B998" s="30"/>
      <c r="C998" s="30"/>
      <c r="D998" s="30"/>
      <c r="E998" s="30"/>
      <c r="F998" s="30"/>
      <c r="G998" s="30"/>
    </row>
    <row r="999">
      <c r="B999" s="30"/>
      <c r="C999" s="30"/>
      <c r="D999" s="30"/>
      <c r="E999" s="30"/>
      <c r="F999" s="30"/>
      <c r="G999" s="30"/>
    </row>
    <row r="1000">
      <c r="B1000" s="30"/>
      <c r="C1000" s="30"/>
      <c r="D1000" s="30"/>
      <c r="E1000" s="30"/>
      <c r="F1000" s="30"/>
      <c r="G1000" s="30"/>
    </row>
  </sheetData>
  <autoFilter ref="$A$1:$I$682"/>
  <drawing r:id="rId1"/>
</worksheet>
</file>